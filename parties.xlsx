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yurets\Desktop\T\us parties tableau\"/>
    </mc:Choice>
  </mc:AlternateContent>
  <xr:revisionPtr revIDLastSave="0" documentId="13_ncr:1_{5C1683DF-F109-4E9E-BD83-4E4D1AC7C43A}" xr6:coauthVersionLast="47" xr6:coauthVersionMax="47" xr10:uidLastSave="{00000000-0000-0000-0000-000000000000}"/>
  <bookViews>
    <workbookView xWindow="-120" yWindow="-120" windowWidth="29040" windowHeight="15840" activeTab="2" xr2:uid="{00000000-000D-0000-FFFF-FFFF00000000}"/>
  </bookViews>
  <sheets>
    <sheet name="main" sheetId="5" r:id="rId1"/>
    <sheet name="party" sheetId="6" r:id="rId2"/>
    <sheet name="party_system"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43" i="5" l="1"/>
  <c r="Y143" i="5"/>
  <c r="Z143" i="5"/>
  <c r="Z144" i="5"/>
  <c r="S143" i="5"/>
  <c r="S144" i="5"/>
  <c r="R143" i="5"/>
  <c r="R144" i="5"/>
  <c r="P144" i="5"/>
  <c r="T144" i="5"/>
  <c r="P143" i="5"/>
  <c r="T143" i="5"/>
  <c r="B143" i="5"/>
  <c r="B144" i="5"/>
  <c r="U144" i="5"/>
  <c r="U143"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5" i="5"/>
  <c r="J10" i="4"/>
  <c r="J11" i="4"/>
  <c r="J12" i="4"/>
  <c r="J13" i="4"/>
  <c r="J14" i="4"/>
  <c r="J15" i="4"/>
  <c r="J9" i="4"/>
  <c r="X66" i="5"/>
  <c r="X67" i="5"/>
  <c r="X68" i="5"/>
  <c r="X69" i="5"/>
  <c r="X70" i="5"/>
  <c r="X71" i="5"/>
  <c r="X72" i="5"/>
  <c r="X73" i="5"/>
  <c r="X74" i="5"/>
  <c r="X75" i="5"/>
  <c r="X76" i="5"/>
  <c r="X77" i="5"/>
  <c r="X78" i="5"/>
  <c r="X79" i="5"/>
  <c r="Y69" i="5"/>
  <c r="Y70" i="5"/>
  <c r="Y71" i="5"/>
  <c r="Y72" i="5"/>
  <c r="Y73" i="5"/>
  <c r="Y74" i="5"/>
  <c r="Y75" i="5"/>
  <c r="Y76" i="5"/>
  <c r="Y77" i="5"/>
  <c r="Y78" i="5"/>
  <c r="Y79" i="5"/>
  <c r="Y80" i="5"/>
  <c r="Y81"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2" i="5"/>
  <c r="X3" i="5"/>
  <c r="Y3" i="5"/>
  <c r="X4" i="5"/>
  <c r="Y4" i="5"/>
  <c r="X5" i="5"/>
  <c r="Y5" i="5"/>
  <c r="X6" i="5"/>
  <c r="Y6" i="5"/>
  <c r="X7" i="5"/>
  <c r="Y7" i="5"/>
  <c r="X8" i="5"/>
  <c r="Y8" i="5"/>
  <c r="X9" i="5"/>
  <c r="Y9" i="5"/>
  <c r="X10" i="5"/>
  <c r="Y10" i="5"/>
  <c r="X11" i="5"/>
  <c r="Y11" i="5"/>
  <c r="X12" i="5"/>
  <c r="Y12" i="5"/>
  <c r="X13" i="5"/>
  <c r="Y13" i="5"/>
  <c r="X14" i="5"/>
  <c r="Y14" i="5"/>
  <c r="X15" i="5"/>
  <c r="Y15" i="5"/>
  <c r="X16" i="5"/>
  <c r="Y16" i="5"/>
  <c r="X17" i="5"/>
  <c r="Y17" i="5"/>
  <c r="X18" i="5"/>
  <c r="Y18" i="5"/>
  <c r="X19" i="5"/>
  <c r="Y19" i="5"/>
  <c r="X20" i="5"/>
  <c r="Y20" i="5"/>
  <c r="X21" i="5"/>
  <c r="Y21" i="5"/>
  <c r="X22" i="5"/>
  <c r="Y22" i="5"/>
  <c r="X23" i="5"/>
  <c r="Y23" i="5"/>
  <c r="X24" i="5"/>
  <c r="Y24" i="5"/>
  <c r="X25" i="5"/>
  <c r="Y25" i="5"/>
  <c r="X26" i="5"/>
  <c r="Y26" i="5"/>
  <c r="X27" i="5"/>
  <c r="Y27" i="5"/>
  <c r="X28" i="5"/>
  <c r="Y28" i="5"/>
  <c r="X29" i="5"/>
  <c r="Y29" i="5"/>
  <c r="X30" i="5"/>
  <c r="Y30" i="5"/>
  <c r="X31" i="5"/>
  <c r="Y31" i="5"/>
  <c r="X32" i="5"/>
  <c r="Y32" i="5"/>
  <c r="X33" i="5"/>
  <c r="Y33" i="5"/>
  <c r="X34" i="5"/>
  <c r="Y34" i="5"/>
  <c r="X35" i="5"/>
  <c r="Y35" i="5"/>
  <c r="X36" i="5"/>
  <c r="Y36" i="5"/>
  <c r="X37" i="5"/>
  <c r="Y37" i="5"/>
  <c r="X38" i="5"/>
  <c r="Y38" i="5"/>
  <c r="X39" i="5"/>
  <c r="Y39" i="5"/>
  <c r="X40" i="5"/>
  <c r="Y40" i="5"/>
  <c r="X41" i="5"/>
  <c r="Y41" i="5"/>
  <c r="X42" i="5"/>
  <c r="Y42" i="5"/>
  <c r="X43" i="5"/>
  <c r="Y43" i="5"/>
  <c r="X44" i="5"/>
  <c r="Y44" i="5"/>
  <c r="X45" i="5"/>
  <c r="Y45" i="5"/>
  <c r="X46" i="5"/>
  <c r="Y46" i="5"/>
  <c r="X47" i="5"/>
  <c r="Y47" i="5"/>
  <c r="X48" i="5"/>
  <c r="Y48" i="5"/>
  <c r="X49" i="5"/>
  <c r="Y49" i="5"/>
  <c r="X50" i="5"/>
  <c r="Y50" i="5"/>
  <c r="X51" i="5"/>
  <c r="Y51" i="5"/>
  <c r="X52" i="5"/>
  <c r="Y52" i="5"/>
  <c r="X53" i="5"/>
  <c r="Y53" i="5"/>
  <c r="X54" i="5"/>
  <c r="Y54" i="5"/>
  <c r="X55" i="5"/>
  <c r="Y55" i="5"/>
  <c r="X56" i="5"/>
  <c r="Y56" i="5"/>
  <c r="X57" i="5"/>
  <c r="Y57" i="5"/>
  <c r="X58" i="5"/>
  <c r="Y58" i="5"/>
  <c r="X59" i="5"/>
  <c r="Y59" i="5"/>
  <c r="X60" i="5"/>
  <c r="Y60" i="5"/>
  <c r="X61" i="5"/>
  <c r="Y61" i="5"/>
  <c r="X62" i="5"/>
  <c r="Y62" i="5"/>
  <c r="X63" i="5"/>
  <c r="Y63" i="5"/>
  <c r="X64" i="5"/>
  <c r="Y64" i="5"/>
  <c r="X65" i="5"/>
  <c r="Y65" i="5"/>
  <c r="Y66" i="5"/>
  <c r="Y67" i="5"/>
  <c r="Y68" i="5"/>
  <c r="X80" i="5"/>
  <c r="X81" i="5"/>
  <c r="X82" i="5"/>
  <c r="Y82" i="5"/>
  <c r="X83" i="5"/>
  <c r="Y83" i="5"/>
  <c r="X84" i="5"/>
  <c r="Y84" i="5"/>
  <c r="X85" i="5"/>
  <c r="Y85" i="5"/>
  <c r="X86" i="5"/>
  <c r="Y86" i="5"/>
  <c r="X87" i="5"/>
  <c r="Y87" i="5"/>
  <c r="X88" i="5"/>
  <c r="Y88" i="5"/>
  <c r="X89" i="5"/>
  <c r="Y89" i="5"/>
  <c r="X90" i="5"/>
  <c r="Y90" i="5"/>
  <c r="X91" i="5"/>
  <c r="Y91" i="5"/>
  <c r="X92" i="5"/>
  <c r="Y92" i="5"/>
  <c r="X93" i="5"/>
  <c r="Y93" i="5"/>
  <c r="X94" i="5"/>
  <c r="Y94" i="5"/>
  <c r="X95" i="5"/>
  <c r="Y95" i="5"/>
  <c r="X96" i="5"/>
  <c r="Y96" i="5"/>
  <c r="X97" i="5"/>
  <c r="Y97" i="5"/>
  <c r="X98" i="5"/>
  <c r="Y98" i="5"/>
  <c r="X99" i="5"/>
  <c r="Y99" i="5"/>
  <c r="X100" i="5"/>
  <c r="Y100" i="5"/>
  <c r="X101" i="5"/>
  <c r="Y101" i="5"/>
  <c r="X102" i="5"/>
  <c r="Y102" i="5"/>
  <c r="X103" i="5"/>
  <c r="Y103" i="5"/>
  <c r="X104" i="5"/>
  <c r="Y104" i="5"/>
  <c r="X105" i="5"/>
  <c r="Y105" i="5"/>
  <c r="X106" i="5"/>
  <c r="Y106" i="5"/>
  <c r="X107" i="5"/>
  <c r="Y107" i="5"/>
  <c r="X108" i="5"/>
  <c r="Y108" i="5"/>
  <c r="X109" i="5"/>
  <c r="Y109" i="5"/>
  <c r="X110" i="5"/>
  <c r="Y110" i="5"/>
  <c r="X111" i="5"/>
  <c r="Y111" i="5"/>
  <c r="X112" i="5"/>
  <c r="Y112" i="5"/>
  <c r="X113" i="5"/>
  <c r="Y113" i="5"/>
  <c r="X114" i="5"/>
  <c r="Y114" i="5"/>
  <c r="X115" i="5"/>
  <c r="Y115" i="5"/>
  <c r="X116" i="5"/>
  <c r="Y116" i="5"/>
  <c r="X117" i="5"/>
  <c r="Y117" i="5"/>
  <c r="X118" i="5"/>
  <c r="Y118" i="5"/>
  <c r="X119" i="5"/>
  <c r="Y119" i="5"/>
  <c r="X120" i="5"/>
  <c r="Y120" i="5"/>
  <c r="X121" i="5"/>
  <c r="Y121" i="5"/>
  <c r="X122" i="5"/>
  <c r="Y122" i="5"/>
  <c r="X123" i="5"/>
  <c r="Y123" i="5"/>
  <c r="X124" i="5"/>
  <c r="Y124" i="5"/>
  <c r="X125" i="5"/>
  <c r="Y125" i="5"/>
  <c r="X126" i="5"/>
  <c r="Y126" i="5"/>
  <c r="X127" i="5"/>
  <c r="Y127" i="5"/>
  <c r="X128" i="5"/>
  <c r="Y128" i="5"/>
  <c r="X129" i="5"/>
  <c r="Y129" i="5"/>
  <c r="X130" i="5"/>
  <c r="Y130" i="5"/>
  <c r="X131" i="5"/>
  <c r="Y131" i="5"/>
  <c r="X132" i="5"/>
  <c r="Y132" i="5"/>
  <c r="X133" i="5"/>
  <c r="Y133" i="5"/>
  <c r="X134" i="5"/>
  <c r="Y134" i="5"/>
  <c r="X135" i="5"/>
  <c r="Y135" i="5"/>
  <c r="X136" i="5"/>
  <c r="Y136" i="5"/>
  <c r="X137" i="5"/>
  <c r="Y137" i="5"/>
  <c r="X138" i="5"/>
  <c r="Y138" i="5"/>
  <c r="X139" i="5"/>
  <c r="Y139" i="5"/>
  <c r="X140" i="5"/>
  <c r="Y140" i="5"/>
  <c r="X141" i="5"/>
  <c r="Y141" i="5"/>
  <c r="X142" i="5"/>
  <c r="Y142" i="5"/>
  <c r="Y2" i="5"/>
  <c r="X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2" i="5"/>
  <c r="P13" i="5"/>
  <c r="P16" i="5"/>
  <c r="P21" i="5"/>
  <c r="P29" i="5"/>
  <c r="P32" i="5"/>
  <c r="P37" i="5"/>
  <c r="P45" i="5"/>
  <c r="P48" i="5"/>
  <c r="P53" i="5"/>
  <c r="P61" i="5"/>
  <c r="P64" i="5"/>
  <c r="P69" i="5"/>
  <c r="P77" i="5"/>
  <c r="P80" i="5"/>
  <c r="P85" i="5"/>
  <c r="P93" i="5"/>
  <c r="P96" i="5"/>
  <c r="P101" i="5"/>
  <c r="P109" i="5"/>
  <c r="P111" i="5"/>
  <c r="P112" i="5"/>
  <c r="P117" i="5"/>
  <c r="P125" i="5"/>
  <c r="P127" i="5"/>
  <c r="P128" i="5"/>
  <c r="P133" i="5"/>
  <c r="P141" i="5"/>
  <c r="P139" i="5"/>
  <c r="P135" i="5"/>
  <c r="P131" i="5"/>
  <c r="P123" i="5"/>
  <c r="P119" i="5"/>
  <c r="P115" i="5"/>
  <c r="P107" i="5"/>
  <c r="P103" i="5"/>
  <c r="P99" i="5"/>
  <c r="P95" i="5"/>
  <c r="P91" i="5"/>
  <c r="P87" i="5"/>
  <c r="P83" i="5"/>
  <c r="P79" i="5"/>
  <c r="P75" i="5"/>
  <c r="P71" i="5"/>
  <c r="P67" i="5"/>
  <c r="P63" i="5"/>
  <c r="P59" i="5"/>
  <c r="P55" i="5"/>
  <c r="P51" i="5"/>
  <c r="P47" i="5"/>
  <c r="P43" i="5"/>
  <c r="P39" i="5"/>
  <c r="P35" i="5"/>
  <c r="P31" i="5"/>
  <c r="P27" i="5"/>
  <c r="P23" i="5"/>
  <c r="P19" i="5"/>
  <c r="P15" i="5"/>
  <c r="P11" i="5"/>
  <c r="Q3" i="5"/>
  <c r="R3" i="5"/>
  <c r="S3" i="5"/>
  <c r="Q4" i="5"/>
  <c r="R4" i="5"/>
  <c r="S4" i="5"/>
  <c r="Q5" i="5"/>
  <c r="R5" i="5"/>
  <c r="S5" i="5"/>
  <c r="Q6" i="5"/>
  <c r="R6" i="5"/>
  <c r="S6" i="5"/>
  <c r="Q7" i="5"/>
  <c r="R7" i="5"/>
  <c r="S7" i="5"/>
  <c r="Q8" i="5"/>
  <c r="R8" i="5"/>
  <c r="S8" i="5"/>
  <c r="Q9" i="5"/>
  <c r="R9" i="5"/>
  <c r="S9" i="5"/>
  <c r="Q10" i="5"/>
  <c r="R10" i="5"/>
  <c r="S10" i="5"/>
  <c r="Q11" i="5"/>
  <c r="R11" i="5"/>
  <c r="S11" i="5"/>
  <c r="Q12" i="5"/>
  <c r="R12" i="5"/>
  <c r="S12" i="5"/>
  <c r="Q13" i="5"/>
  <c r="R13" i="5"/>
  <c r="S13" i="5"/>
  <c r="Q14" i="5"/>
  <c r="R14" i="5"/>
  <c r="S14" i="5"/>
  <c r="Q15" i="5"/>
  <c r="R15" i="5"/>
  <c r="S15" i="5"/>
  <c r="Q16" i="5"/>
  <c r="R16" i="5"/>
  <c r="S16" i="5"/>
  <c r="Q17" i="5"/>
  <c r="R17" i="5"/>
  <c r="S17" i="5"/>
  <c r="Q18" i="5"/>
  <c r="R18" i="5"/>
  <c r="S18" i="5"/>
  <c r="Q19" i="5"/>
  <c r="R19" i="5"/>
  <c r="S19" i="5"/>
  <c r="Q20" i="5"/>
  <c r="R20" i="5"/>
  <c r="S20" i="5"/>
  <c r="Q21" i="5"/>
  <c r="R21" i="5"/>
  <c r="S21" i="5"/>
  <c r="Q22" i="5"/>
  <c r="R22" i="5"/>
  <c r="S22" i="5"/>
  <c r="Q23" i="5"/>
  <c r="R23" i="5"/>
  <c r="S23" i="5"/>
  <c r="Q24" i="5"/>
  <c r="R24" i="5"/>
  <c r="S24" i="5"/>
  <c r="Q25" i="5"/>
  <c r="R25" i="5"/>
  <c r="S25" i="5"/>
  <c r="Q26" i="5"/>
  <c r="R26" i="5"/>
  <c r="S26" i="5"/>
  <c r="Q27" i="5"/>
  <c r="R27" i="5"/>
  <c r="S27" i="5"/>
  <c r="Q28" i="5"/>
  <c r="R28" i="5"/>
  <c r="S28" i="5"/>
  <c r="Q29" i="5"/>
  <c r="R29" i="5"/>
  <c r="S29" i="5"/>
  <c r="Q30" i="5"/>
  <c r="R30" i="5"/>
  <c r="S30" i="5"/>
  <c r="Q31" i="5"/>
  <c r="R31" i="5"/>
  <c r="S31" i="5"/>
  <c r="Q32" i="5"/>
  <c r="R32" i="5"/>
  <c r="S32" i="5"/>
  <c r="Q33" i="5"/>
  <c r="R33" i="5"/>
  <c r="S33" i="5"/>
  <c r="Q34" i="5"/>
  <c r="R34" i="5"/>
  <c r="S34" i="5"/>
  <c r="Q35" i="5"/>
  <c r="R35" i="5"/>
  <c r="S35" i="5"/>
  <c r="Q36" i="5"/>
  <c r="R36" i="5"/>
  <c r="S36" i="5"/>
  <c r="Q37" i="5"/>
  <c r="R37" i="5"/>
  <c r="S37" i="5"/>
  <c r="Q38" i="5"/>
  <c r="R38" i="5"/>
  <c r="S38" i="5"/>
  <c r="Q39" i="5"/>
  <c r="R39" i="5"/>
  <c r="S39" i="5"/>
  <c r="Q40" i="5"/>
  <c r="R40" i="5"/>
  <c r="S40" i="5"/>
  <c r="Q41" i="5"/>
  <c r="R41" i="5"/>
  <c r="S41" i="5"/>
  <c r="Q42" i="5"/>
  <c r="R42" i="5"/>
  <c r="S42" i="5"/>
  <c r="Q43" i="5"/>
  <c r="R43" i="5"/>
  <c r="S43" i="5"/>
  <c r="Q44" i="5"/>
  <c r="R44" i="5"/>
  <c r="S44" i="5"/>
  <c r="Q45" i="5"/>
  <c r="R45" i="5"/>
  <c r="S45" i="5"/>
  <c r="Q46" i="5"/>
  <c r="R46" i="5"/>
  <c r="S46" i="5"/>
  <c r="Q47" i="5"/>
  <c r="R47" i="5"/>
  <c r="S47" i="5"/>
  <c r="Q48" i="5"/>
  <c r="R48" i="5"/>
  <c r="S48" i="5"/>
  <c r="Q49" i="5"/>
  <c r="R49" i="5"/>
  <c r="S49" i="5"/>
  <c r="Q50" i="5"/>
  <c r="R50" i="5"/>
  <c r="S50" i="5"/>
  <c r="Q51" i="5"/>
  <c r="R51" i="5"/>
  <c r="S51" i="5"/>
  <c r="Q52" i="5"/>
  <c r="R52" i="5"/>
  <c r="S52" i="5"/>
  <c r="Q53" i="5"/>
  <c r="R53" i="5"/>
  <c r="S53" i="5"/>
  <c r="Q54" i="5"/>
  <c r="R54" i="5"/>
  <c r="S54" i="5"/>
  <c r="Q55" i="5"/>
  <c r="R55" i="5"/>
  <c r="S55" i="5"/>
  <c r="Q56" i="5"/>
  <c r="R56" i="5"/>
  <c r="S56" i="5"/>
  <c r="Q57" i="5"/>
  <c r="R57" i="5"/>
  <c r="S57" i="5"/>
  <c r="Q58" i="5"/>
  <c r="R58" i="5"/>
  <c r="S58" i="5"/>
  <c r="Q59" i="5"/>
  <c r="R59" i="5"/>
  <c r="S59" i="5"/>
  <c r="Q60" i="5"/>
  <c r="R60" i="5"/>
  <c r="S60" i="5"/>
  <c r="Q61" i="5"/>
  <c r="R61" i="5"/>
  <c r="S61" i="5"/>
  <c r="Q62" i="5"/>
  <c r="R62" i="5"/>
  <c r="S62" i="5"/>
  <c r="Q63" i="5"/>
  <c r="R63" i="5"/>
  <c r="S63" i="5"/>
  <c r="Q64" i="5"/>
  <c r="R64" i="5"/>
  <c r="S64" i="5"/>
  <c r="Q65" i="5"/>
  <c r="R65" i="5"/>
  <c r="S65" i="5"/>
  <c r="Q66" i="5"/>
  <c r="R66" i="5"/>
  <c r="S66" i="5"/>
  <c r="Q67" i="5"/>
  <c r="R67" i="5"/>
  <c r="S67" i="5"/>
  <c r="Q68" i="5"/>
  <c r="R68" i="5"/>
  <c r="S68" i="5"/>
  <c r="Q69" i="5"/>
  <c r="R69" i="5"/>
  <c r="S69" i="5"/>
  <c r="Q70" i="5"/>
  <c r="R70" i="5"/>
  <c r="S70" i="5"/>
  <c r="Q71" i="5"/>
  <c r="R71" i="5"/>
  <c r="S71" i="5"/>
  <c r="Q72" i="5"/>
  <c r="R72" i="5"/>
  <c r="S72" i="5"/>
  <c r="Q73" i="5"/>
  <c r="R73" i="5"/>
  <c r="S73" i="5"/>
  <c r="Q74" i="5"/>
  <c r="R74" i="5"/>
  <c r="S74" i="5"/>
  <c r="Q75" i="5"/>
  <c r="R75" i="5"/>
  <c r="S75" i="5"/>
  <c r="Q76" i="5"/>
  <c r="R76" i="5"/>
  <c r="S76" i="5"/>
  <c r="Q77" i="5"/>
  <c r="R77" i="5"/>
  <c r="S77" i="5"/>
  <c r="Q78" i="5"/>
  <c r="R78" i="5"/>
  <c r="S78" i="5"/>
  <c r="Q79" i="5"/>
  <c r="R79" i="5"/>
  <c r="S79" i="5"/>
  <c r="Q80" i="5"/>
  <c r="R80" i="5"/>
  <c r="S80" i="5"/>
  <c r="Q81" i="5"/>
  <c r="R81" i="5"/>
  <c r="S81" i="5"/>
  <c r="Q82" i="5"/>
  <c r="R82" i="5"/>
  <c r="S82" i="5"/>
  <c r="Q83" i="5"/>
  <c r="R83" i="5"/>
  <c r="S83" i="5"/>
  <c r="Q84" i="5"/>
  <c r="R84" i="5"/>
  <c r="S84" i="5"/>
  <c r="Q85" i="5"/>
  <c r="R85" i="5"/>
  <c r="S85" i="5"/>
  <c r="Q86" i="5"/>
  <c r="R86" i="5"/>
  <c r="S86" i="5"/>
  <c r="Q87" i="5"/>
  <c r="R87" i="5"/>
  <c r="S87" i="5"/>
  <c r="Q88" i="5"/>
  <c r="R88" i="5"/>
  <c r="S88" i="5"/>
  <c r="Q89" i="5"/>
  <c r="R89" i="5"/>
  <c r="S89" i="5"/>
  <c r="Q90" i="5"/>
  <c r="R90" i="5"/>
  <c r="S90" i="5"/>
  <c r="Q91" i="5"/>
  <c r="R91" i="5"/>
  <c r="S91" i="5"/>
  <c r="Q92" i="5"/>
  <c r="R92" i="5"/>
  <c r="S92" i="5"/>
  <c r="Q93" i="5"/>
  <c r="R93" i="5"/>
  <c r="S93" i="5"/>
  <c r="Q94" i="5"/>
  <c r="R94" i="5"/>
  <c r="S94" i="5"/>
  <c r="Q95" i="5"/>
  <c r="R95" i="5"/>
  <c r="S95" i="5"/>
  <c r="Q96" i="5"/>
  <c r="R96" i="5"/>
  <c r="S96" i="5"/>
  <c r="Q97" i="5"/>
  <c r="R97" i="5"/>
  <c r="S97" i="5"/>
  <c r="Q98" i="5"/>
  <c r="R98" i="5"/>
  <c r="S98" i="5"/>
  <c r="Q99" i="5"/>
  <c r="R99" i="5"/>
  <c r="S99" i="5"/>
  <c r="Q100" i="5"/>
  <c r="R100" i="5"/>
  <c r="S100" i="5"/>
  <c r="Q101" i="5"/>
  <c r="R101" i="5"/>
  <c r="S101" i="5"/>
  <c r="Q102" i="5"/>
  <c r="R102" i="5"/>
  <c r="S102" i="5"/>
  <c r="Q103" i="5"/>
  <c r="R103" i="5"/>
  <c r="S103" i="5"/>
  <c r="Q104" i="5"/>
  <c r="R104" i="5"/>
  <c r="S104" i="5"/>
  <c r="Q105" i="5"/>
  <c r="R105" i="5"/>
  <c r="S105" i="5"/>
  <c r="Q106" i="5"/>
  <c r="R106" i="5"/>
  <c r="S106" i="5"/>
  <c r="Q107" i="5"/>
  <c r="R107" i="5"/>
  <c r="S107" i="5"/>
  <c r="Q108" i="5"/>
  <c r="R108" i="5"/>
  <c r="S108" i="5"/>
  <c r="Q109" i="5"/>
  <c r="R109" i="5"/>
  <c r="S109" i="5"/>
  <c r="Q110" i="5"/>
  <c r="R110" i="5"/>
  <c r="S110" i="5"/>
  <c r="Q111" i="5"/>
  <c r="R111" i="5"/>
  <c r="S111" i="5"/>
  <c r="Q112" i="5"/>
  <c r="R112" i="5"/>
  <c r="S112" i="5"/>
  <c r="Q113" i="5"/>
  <c r="R113" i="5"/>
  <c r="S113" i="5"/>
  <c r="Q114" i="5"/>
  <c r="R114" i="5"/>
  <c r="S114" i="5"/>
  <c r="Q115" i="5"/>
  <c r="R115" i="5"/>
  <c r="S115" i="5"/>
  <c r="Q116" i="5"/>
  <c r="R116" i="5"/>
  <c r="S116" i="5"/>
  <c r="Q117" i="5"/>
  <c r="R117" i="5"/>
  <c r="S117" i="5"/>
  <c r="Q118" i="5"/>
  <c r="R118" i="5"/>
  <c r="S118" i="5"/>
  <c r="Q119" i="5"/>
  <c r="R119" i="5"/>
  <c r="S119" i="5"/>
  <c r="Q120" i="5"/>
  <c r="R120" i="5"/>
  <c r="S120" i="5"/>
  <c r="Q121" i="5"/>
  <c r="R121" i="5"/>
  <c r="S121" i="5"/>
  <c r="Q122" i="5"/>
  <c r="R122" i="5"/>
  <c r="S122" i="5"/>
  <c r="Q123" i="5"/>
  <c r="R123" i="5"/>
  <c r="S123" i="5"/>
  <c r="Q124" i="5"/>
  <c r="R124" i="5"/>
  <c r="S124" i="5"/>
  <c r="Q125" i="5"/>
  <c r="R125" i="5"/>
  <c r="S125" i="5"/>
  <c r="Q126" i="5"/>
  <c r="R126" i="5"/>
  <c r="S126" i="5"/>
  <c r="Q127" i="5"/>
  <c r="R127" i="5"/>
  <c r="S127" i="5"/>
  <c r="Q128" i="5"/>
  <c r="R128" i="5"/>
  <c r="S128" i="5"/>
  <c r="Q129" i="5"/>
  <c r="R129" i="5"/>
  <c r="S129" i="5"/>
  <c r="Q130" i="5"/>
  <c r="R130" i="5"/>
  <c r="S130" i="5"/>
  <c r="Q131" i="5"/>
  <c r="R131" i="5"/>
  <c r="S131" i="5"/>
  <c r="Q132" i="5"/>
  <c r="R132" i="5"/>
  <c r="S132" i="5"/>
  <c r="Q133" i="5"/>
  <c r="R133" i="5"/>
  <c r="S133" i="5"/>
  <c r="Q134" i="5"/>
  <c r="R134" i="5"/>
  <c r="S134" i="5"/>
  <c r="Q135" i="5"/>
  <c r="R135" i="5"/>
  <c r="S135" i="5"/>
  <c r="Q136" i="5"/>
  <c r="R136" i="5"/>
  <c r="S136" i="5"/>
  <c r="Q137" i="5"/>
  <c r="R137" i="5"/>
  <c r="S137" i="5"/>
  <c r="Q138" i="5"/>
  <c r="R138" i="5"/>
  <c r="S138" i="5"/>
  <c r="Q139" i="5"/>
  <c r="R139" i="5"/>
  <c r="S139" i="5"/>
  <c r="Q140" i="5"/>
  <c r="R140" i="5"/>
  <c r="S140" i="5"/>
  <c r="Q141" i="5"/>
  <c r="R141" i="5"/>
  <c r="S141" i="5"/>
  <c r="Q142" i="5"/>
  <c r="R142" i="5"/>
  <c r="S142" i="5"/>
  <c r="S2" i="5"/>
  <c r="R2" i="5"/>
  <c r="Q2" i="5"/>
  <c r="P142" i="5"/>
  <c r="P140" i="5"/>
  <c r="P138" i="5"/>
  <c r="P136" i="5"/>
  <c r="P134" i="5"/>
  <c r="P130" i="5"/>
  <c r="P129" i="5"/>
  <c r="P126" i="5"/>
  <c r="P124" i="5"/>
  <c r="P122" i="5"/>
  <c r="P120" i="5"/>
  <c r="P118" i="5"/>
  <c r="P114" i="5"/>
  <c r="P113" i="5"/>
  <c r="P110" i="5"/>
  <c r="P108" i="5"/>
  <c r="P106" i="5"/>
  <c r="P104" i="5"/>
  <c r="P102" i="5"/>
  <c r="P98" i="5"/>
  <c r="P97" i="5"/>
  <c r="P94" i="5"/>
  <c r="P92" i="5"/>
  <c r="P90" i="5"/>
  <c r="P88" i="5"/>
  <c r="P86" i="5"/>
  <c r="P82" i="5"/>
  <c r="P81" i="5"/>
  <c r="P78" i="5"/>
  <c r="P76" i="5"/>
  <c r="P74" i="5"/>
  <c r="P72" i="5"/>
  <c r="P70" i="5"/>
  <c r="P66" i="5"/>
  <c r="P65" i="5"/>
  <c r="P62" i="5"/>
  <c r="P60" i="5"/>
  <c r="P58" i="5"/>
  <c r="P54" i="5"/>
  <c r="P50" i="5"/>
  <c r="P49" i="5"/>
  <c r="P46" i="5"/>
  <c r="P44" i="5"/>
  <c r="P42" i="5"/>
  <c r="P40" i="5"/>
  <c r="P38" i="5"/>
  <c r="P34" i="5"/>
  <c r="P33" i="5"/>
  <c r="P28" i="5"/>
  <c r="P26" i="5"/>
  <c r="P24" i="5"/>
  <c r="P22" i="5"/>
  <c r="P18" i="5"/>
  <c r="P17" i="5"/>
  <c r="P14" i="5"/>
  <c r="P12" i="5"/>
  <c r="P20" i="5" l="1"/>
  <c r="P25" i="5"/>
  <c r="P36" i="5"/>
  <c r="P41" i="5"/>
  <c r="P52" i="5"/>
  <c r="P68" i="5"/>
  <c r="P73" i="5"/>
  <c r="P84" i="5"/>
  <c r="P89" i="5"/>
  <c r="P100" i="5"/>
  <c r="P105" i="5"/>
  <c r="P116" i="5"/>
  <c r="P121" i="5"/>
  <c r="P132" i="5"/>
  <c r="P13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 terrday</author>
  </authors>
  <commentList>
    <comment ref="G2" authorId="0" shapeId="0" xr:uid="{FF45F00D-6091-4002-A2F4-06DF4865BC38}">
      <text>
        <r>
          <rPr>
            <b/>
            <sz val="9"/>
            <color indexed="81"/>
            <rFont val="Tahoma"/>
            <family val="2"/>
          </rPr>
          <t>ToDo: understand the diff from 28k</t>
        </r>
      </text>
    </comment>
    <comment ref="I11" authorId="0" shapeId="0" xr:uid="{73B4686B-854D-48FC-816A-4043EA0DAB6C}">
      <text>
        <r>
          <rPr>
            <b/>
            <sz val="9"/>
            <color indexed="81"/>
            <rFont val="Tahoma"/>
            <family val="2"/>
          </rPr>
          <t>total should be 276</t>
        </r>
      </text>
    </comment>
    <comment ref="I15" authorId="0" shapeId="0" xr:uid="{4AB67248-0C85-4B64-AE96-726178F899FF}">
      <text>
        <r>
          <rPr>
            <b/>
            <sz val="9"/>
            <color indexed="81"/>
            <rFont val="Tahoma"/>
            <family val="2"/>
          </rPr>
          <t>yes terrday:</t>
        </r>
        <r>
          <rPr>
            <sz val="9"/>
            <color indexed="81"/>
            <rFont val="Tahoma"/>
            <family val="2"/>
          </rPr>
          <t xml:space="preserve">
total should be 176</t>
        </r>
      </text>
    </comment>
    <comment ref="I131" authorId="0" shapeId="0" xr:uid="{3218FE86-48F6-441A-A38E-909E346DA426}">
      <text>
        <r>
          <rPr>
            <b/>
            <sz val="9"/>
            <color indexed="81"/>
            <rFont val="Tahoma"/>
            <family val="2"/>
          </rPr>
          <t>yes terrday:</t>
        </r>
        <r>
          <rPr>
            <sz val="9"/>
            <color indexed="81"/>
            <rFont val="Tahoma"/>
            <family val="2"/>
          </rPr>
          <t xml:space="preserve">
should be 538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yes terrday</author>
  </authors>
  <commentList>
    <comment ref="D4" authorId="0" shapeId="0" xr:uid="{E27C91F9-0E4D-45CA-B631-1D9E318B092E}">
      <text>
        <r>
          <rPr>
            <sz val="9"/>
            <color indexed="81"/>
            <rFont val="Tahoma"/>
            <family val="2"/>
          </rPr>
          <t>"1890s"</t>
        </r>
      </text>
    </comment>
    <comment ref="C8" authorId="0" shapeId="0" xr:uid="{CFC29083-21C4-4DBF-BBEA-9C5773EA227F}">
      <text>
        <r>
          <rPr>
            <sz val="9"/>
            <color indexed="81"/>
            <rFont val="Tahoma"/>
            <family val="2"/>
          </rPr>
          <t>"2016?"</t>
        </r>
      </text>
    </comment>
    <comment ref="D11" authorId="0" shapeId="0" xr:uid="{CCCBBBCD-78F4-443B-B445-92A50F0A2E3A}">
      <text>
        <r>
          <rPr>
            <sz val="9"/>
            <color indexed="81"/>
            <rFont val="Tahoma"/>
            <family val="2"/>
          </rPr>
          <t>"1890s"</t>
        </r>
      </text>
    </comment>
    <comment ref="C15" authorId="0" shapeId="0" xr:uid="{F59193BB-F41E-41DD-BC59-C73A4DBEFD0C}">
      <text>
        <r>
          <rPr>
            <sz val="9"/>
            <color indexed="81"/>
            <rFont val="Tahoma"/>
            <family val="2"/>
          </rPr>
          <t>"2016?"</t>
        </r>
      </text>
    </comment>
  </commentList>
</comments>
</file>

<file path=xl/sharedStrings.xml><?xml version="1.0" encoding="utf-8"?>
<sst xmlns="http://schemas.openxmlformats.org/spreadsheetml/2006/main" count="598" uniqueCount="273">
  <si>
    <t>election_number</t>
  </si>
  <si>
    <t>election_year</t>
  </si>
  <si>
    <t>party</t>
  </si>
  <si>
    <t>Independent</t>
  </si>
  <si>
    <t>Federalist</t>
  </si>
  <si>
    <t>Anti-Administration</t>
  </si>
  <si>
    <t>elected_president</t>
  </si>
  <si>
    <t>George Washington</t>
  </si>
  <si>
    <t>popular_vote</t>
  </si>
  <si>
    <t>electoral_votes</t>
  </si>
  <si>
    <t>popular_vote_percent</t>
  </si>
  <si>
    <t>Democratic-Republican</t>
  </si>
  <si>
    <t>John Adams</t>
  </si>
  <si>
    <t>Thomas Jefferson</t>
  </si>
  <si>
    <t>president_number</t>
  </si>
  <si>
    <t>James Madison</t>
  </si>
  <si>
    <t>James Monroe</t>
  </si>
  <si>
    <t>Democratic-Republican (Adams faction)</t>
  </si>
  <si>
    <t>Democratic-Republican (Jackson faction)</t>
  </si>
  <si>
    <t>Democratic-Republican (Crawford faction)</t>
  </si>
  <si>
    <t>Democratic-Republican (Clay faction)</t>
  </si>
  <si>
    <t>Democratic</t>
  </si>
  <si>
    <t>National Republican</t>
  </si>
  <si>
    <t>Andrew Jackson</t>
  </si>
  <si>
    <t>Nullifier</t>
  </si>
  <si>
    <t>Anti-Masonic</t>
  </si>
  <si>
    <t>Whig</t>
  </si>
  <si>
    <t>Martin Van Buren</t>
  </si>
  <si>
    <t>William Henry Harrison</t>
  </si>
  <si>
    <t>James K. Polk</t>
  </si>
  <si>
    <t>Free Soil</t>
  </si>
  <si>
    <t>Zachary Taylor</t>
  </si>
  <si>
    <t>Franklin Pierce</t>
  </si>
  <si>
    <t>Republican</t>
  </si>
  <si>
    <t>American</t>
  </si>
  <si>
    <t>James Buchanan</t>
  </si>
  <si>
    <t>Democratic (Southerrn)</t>
  </si>
  <si>
    <t>Constitutional Union</t>
  </si>
  <si>
    <t>Democratic (Northern)</t>
  </si>
  <si>
    <t>Abraham Lincoln</t>
  </si>
  <si>
    <t>National Union</t>
  </si>
  <si>
    <t>Ulysses S. Grant</t>
  </si>
  <si>
    <t>?</t>
  </si>
  <si>
    <t>Rutherford B. Hayes</t>
  </si>
  <si>
    <t>James A. Garfield</t>
  </si>
  <si>
    <t>Grover Cleveland</t>
  </si>
  <si>
    <t>Benjamin Harrison</t>
  </si>
  <si>
    <t>Populist</t>
  </si>
  <si>
    <t>Democratic/Populist</t>
  </si>
  <si>
    <t>William McKinley</t>
  </si>
  <si>
    <t>Theodore Roosevelt</t>
  </si>
  <si>
    <t>William Howard Taft</t>
  </si>
  <si>
    <t>Progressive</t>
  </si>
  <si>
    <t>Socialist</t>
  </si>
  <si>
    <t>Woodrow Wilson</t>
  </si>
  <si>
    <t>Warren G. Harding</t>
  </si>
  <si>
    <t>Calvin Coolidge</t>
  </si>
  <si>
    <t>Herbert Hoover</t>
  </si>
  <si>
    <t>Franklin D. Roosevelt</t>
  </si>
  <si>
    <t>Dixiecrat</t>
  </si>
  <si>
    <t>Harry S. Truman</t>
  </si>
  <si>
    <t>Dwight D. Eisenhower</t>
  </si>
  <si>
    <t>Southern Democratic</t>
  </si>
  <si>
    <t>John F. Kennedy</t>
  </si>
  <si>
    <t>Lyndon B. Johnson</t>
  </si>
  <si>
    <t>American Independent</t>
  </si>
  <si>
    <t>Richard Nixon</t>
  </si>
  <si>
    <t>Libertarian</t>
  </si>
  <si>
    <t>Jimmy Carter</t>
  </si>
  <si>
    <t>Ronald Reagan</t>
  </si>
  <si>
    <t>George H. W. Bush</t>
  </si>
  <si>
    <t>Bill Clinton</t>
  </si>
  <si>
    <t>Reform</t>
  </si>
  <si>
    <t>George W. Bush</t>
  </si>
  <si>
    <t>Barack Obama</t>
  </si>
  <si>
    <t>Donald Trump</t>
  </si>
  <si>
    <t>Joe Biden</t>
  </si>
  <si>
    <t>t1</t>
  </si>
  <si>
    <t>t2</t>
  </si>
  <si>
    <t>t3</t>
  </si>
  <si>
    <t>t4</t>
  </si>
  <si>
    <t>t5</t>
  </si>
  <si>
    <t>t6</t>
  </si>
  <si>
    <t>First Party System</t>
  </si>
  <si>
    <t>party_system_title</t>
  </si>
  <si>
    <t>Federalist vs Democratic-Republican</t>
  </si>
  <si>
    <t>year_start</t>
  </si>
  <si>
    <t>year_end</t>
  </si>
  <si>
    <t>Second Party System</t>
  </si>
  <si>
    <t>Democratic vs Whig</t>
  </si>
  <si>
    <t>Third Party System</t>
  </si>
  <si>
    <t>Democratic vs Republican</t>
  </si>
  <si>
    <t>Fourth Party System</t>
  </si>
  <si>
    <t>Fifth Party System</t>
  </si>
  <si>
    <t>Sixth Party System</t>
  </si>
  <si>
    <t>2nd</t>
  </si>
  <si>
    <t>3rd</t>
  </si>
  <si>
    <t>4th</t>
  </si>
  <si>
    <t>6th</t>
  </si>
  <si>
    <t>7th(?)</t>
  </si>
  <si>
    <t>5th</t>
  </si>
  <si>
    <t>color</t>
  </si>
  <si>
    <t>color_number</t>
  </si>
  <si>
    <t>1st</t>
  </si>
  <si>
    <t>party_system</t>
  </si>
  <si>
    <t>party_system_number</t>
  </si>
  <si>
    <t>logical_order</t>
  </si>
  <si>
    <t>Democratic-Republican / Federalist</t>
  </si>
  <si>
    <t>Liberal Republican</t>
  </si>
  <si>
    <t>Progressive (Bull Moose)</t>
  </si>
  <si>
    <t>Seventh Party System (proposed)</t>
  </si>
  <si>
    <t>year_end_label</t>
  </si>
  <si>
    <t>year_start_label</t>
  </si>
  <si>
    <t>now</t>
  </si>
  <si>
    <t>2016(?)</t>
  </si>
  <si>
    <t>pvt</t>
  </si>
  <si>
    <t>misc</t>
  </si>
  <si>
    <t>desc</t>
  </si>
  <si>
    <t>link</t>
  </si>
  <si>
    <t>popular_vote_percent_vat</t>
  </si>
  <si>
    <t>election_number_text</t>
  </si>
  <si>
    <t>won_the_election</t>
  </si>
  <si>
    <t>George Clinton</t>
  </si>
  <si>
    <t>Charles Cotesworth Pinckney</t>
  </si>
  <si>
    <t>DeWitt Clinton</t>
  </si>
  <si>
    <t>Rufus King</t>
  </si>
  <si>
    <t>John Quincy Adams</t>
  </si>
  <si>
    <t>William H. Crawford</t>
  </si>
  <si>
    <t>Henry Clay</t>
  </si>
  <si>
    <t>John Floyd</t>
  </si>
  <si>
    <t>William Wirt</t>
  </si>
  <si>
    <t>Lewis Cass</t>
  </si>
  <si>
    <t>Winfield Scott</t>
  </si>
  <si>
    <t>John P. Hale</t>
  </si>
  <si>
    <t>John C. Frémont</t>
  </si>
  <si>
    <t>Millard Fillmore</t>
  </si>
  <si>
    <t>John C. Breckinridge</t>
  </si>
  <si>
    <t>John Bell</t>
  </si>
  <si>
    <t>Stephen A. Douglas</t>
  </si>
  <si>
    <t>George B. McClellan</t>
  </si>
  <si>
    <t>Horatio Seymour</t>
  </si>
  <si>
    <t>Samuel J. Tilden</t>
  </si>
  <si>
    <t>Winfield Scott Hancock</t>
  </si>
  <si>
    <t>James G. Blaine</t>
  </si>
  <si>
    <t>James B. Weaver</t>
  </si>
  <si>
    <t>William Jennings Bryan</t>
  </si>
  <si>
    <t>Alton B. Parker</t>
  </si>
  <si>
    <t>Eugene V. Debs</t>
  </si>
  <si>
    <t>Charles Evans Hughes</t>
  </si>
  <si>
    <t>James M. Cox</t>
  </si>
  <si>
    <t>John W. Davis</t>
  </si>
  <si>
    <t>Robert M. La Follette</t>
  </si>
  <si>
    <t>Al Smith</t>
  </si>
  <si>
    <t>Alf Landon</t>
  </si>
  <si>
    <t>Wendell Willkie</t>
  </si>
  <si>
    <t>Thomas E. Dewey</t>
  </si>
  <si>
    <t>Strom Thurmond</t>
  </si>
  <si>
    <t>Adlai Stevenson II</t>
  </si>
  <si>
    <t>Harry F. Byrd</t>
  </si>
  <si>
    <t>Barry Goldwater</t>
  </si>
  <si>
    <t>Hubert Humphrey</t>
  </si>
  <si>
    <t>George Wallace</t>
  </si>
  <si>
    <t>George McGovern</t>
  </si>
  <si>
    <t>John Hospers</t>
  </si>
  <si>
    <t>John B. Anderson</t>
  </si>
  <si>
    <t>Walter Mondale</t>
  </si>
  <si>
    <t>Ross Perot</t>
  </si>
  <si>
    <t>Bob Dole</t>
  </si>
  <si>
    <t>Al Gore</t>
  </si>
  <si>
    <t>John McCain</t>
  </si>
  <si>
    <t>Mitt Romney</t>
  </si>
  <si>
    <t/>
  </si>
  <si>
    <t>John Adams and 8 more</t>
  </si>
  <si>
    <t>George Clinton and 1 more</t>
  </si>
  <si>
    <t>George Clinton and 2 more</t>
  </si>
  <si>
    <t>Thomas Pinckney and 5 more</t>
  </si>
  <si>
    <t>Thomas Jefferson and 4 more</t>
  </si>
  <si>
    <t>William Henry Harrison and 3 more</t>
  </si>
  <si>
    <t>Thomas A. Hendricks and 1 more</t>
  </si>
  <si>
    <t>Benjamin Gratz Brown and 2 more</t>
  </si>
  <si>
    <t>Adlai Stevenson II and 1 more</t>
  </si>
  <si>
    <t>Gerald Ford and 1 more</t>
  </si>
  <si>
    <t>Michael Dukakis and 1 more</t>
  </si>
  <si>
    <t>John Kerry and 1 more</t>
  </si>
  <si>
    <t>Hillary Clinton and 2 more</t>
  </si>
  <si>
    <t>Colin Powell and 2 more</t>
  </si>
  <si>
    <t>candidates</t>
  </si>
  <si>
    <t>candidates_won</t>
  </si>
  <si>
    <t>candidates_lost</t>
  </si>
  <si>
    <t>The Federalist Party was a conservative and nationalist American political party and the first political party in the United States. It dominated the national government under Alexander Hamilton from 1789 to 1801. The party was defeated by the Democratic-Republican Party in 1800, and it became a minority party while keeping its stronghold in New England. It made a brief resurgence by opposing the War of 1812, then collapsed with its last presidential candidate in 1816. Remnants lasted for a few years afterwards.</t>
  </si>
  <si>
    <t>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t>
  </si>
  <si>
    <t>While commonly labeled as the Federalist candidate, Clinton technically ran as a Democratic-Republican and was not nominated by the Federalist party itself, the latter simply deciding not to field a candidate. This did not prevent endorsements from state Federalist parties (such as in Pennsylvania), but he received the endorsement from the New York state Democratic-Republicans as well.</t>
  </si>
  <si>
    <t>The Democratic-Republican Party had won six consecutive presidential elections and by 1824 was the only national political party. However, as the election approached, the presence of multiple viable candidates resulted in there being multiple nominations by the contending factions, signaling the splintering of the party and an end to the Era of Good Feelings, as well as the First Party System.
Adams won New England, Jackson and Adams split the mid-Atlantic states, Jackson and Clay split the Western states, and Jackson and Crawford split the Southern states.</t>
  </si>
  <si>
    <t>The Nullifier Party was an American political party based in South Carolina in the 1830s. Considered an early American third party, it was started by John C. Calhoun in 1828.
The Nullifier Party was a states' rights, pro-slavery party that supported strict constructionism with regards to the U.S. government's enumerated powers, holding that states could nullify federal laws within their borders. It narrowly missed claiming the unofficial title of being the first ever third party to be created within the United States—that title belongs to the Anti-Masonic Party, which was created in New York in February 1828.</t>
  </si>
  <si>
    <t>The Anti-Masonic Party was the earliest third party in the United States. Formally a single-issue party, it strongly opposed Freemasonry in the United States. It was active from the late 1820s, especially in the Northeast, and later attempted to become a major party by expanding its platform to take positions on other issues. It declined quickly after 1832 as most members joined the new Whig Party; it disappeared after 1838.</t>
  </si>
  <si>
    <t>The Free Soil Party was a political party in the United States from 1848 to 1854, when it merged into the Republican Party. The party was focused on opposing the expansion of slavery into the western territories of the United States.</t>
  </si>
  <si>
    <t>https://en.wikipedia.org/wiki/Independent_politician</t>
  </si>
  <si>
    <t>An independent, non-partisan politician or non-affiliated politician is a politician not affiliated with any political party or bureaucratic association. There are numerous reasons why someone may stand for office as an independent.
George Washington is the only U.S. president elected as an independent to date. Washington opposed the development of political parties. He feared that partisanship would eventually destroy the country, and famously warned against "the baneful effects of the spirit of party" in his 1796 Farewell Address.</t>
  </si>
  <si>
    <t>https://en.wikipedia.org/wiki/Federalist_Party</t>
  </si>
  <si>
    <t>https://en.wikipedia.org/wiki/Anti-Administration_party</t>
  </si>
  <si>
    <t>The Anti-Administration party was an informal political faction in the United States led by James Madison and Thomas Jefferson that opposed policies of then Secretary of the Treasury Alexander Hamilton in the first term of U.S. president George Washington. It was not an organized political party, but an unorganized faction. Most members had been Anti-Federalists in 1788, when they opposed ratification of the U.S. Constitution.
Although contemporaries often referred to Hamilton's opponents as "Anti-Federalists", that term is now seen as imprecise since several Anti-Administration leaders supported ratification, including Virginia Representative James Madison.</t>
  </si>
  <si>
    <t>https://en.wikipedia.org/wiki/Democratic-Republican_Party</t>
  </si>
  <si>
    <t>https://en.wikipedia.org/wiki/1812_United_States_presidential_election</t>
  </si>
  <si>
    <t>https://en.wikipedia.org/wiki/1824_United_States_presidential_election</t>
  </si>
  <si>
    <t>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t>
  </si>
  <si>
    <t>Not a party.</t>
  </si>
  <si>
    <t>https://en.wikipedia.org/wiki/Democratic_Party_(United_States)</t>
  </si>
  <si>
    <t>https://en.wikipedia.org/wiki/National_Republican_Party</t>
  </si>
  <si>
    <t>The National Republican Party, also known as the Anti-Jacksonian Party or simply Republicans, was a political party in the United States which evolved from a conservative-leaning faction of the Democratic-Republican Party that supported John Quincy Adams in the 1824 presidential election.
After the 1832 election, opponents of Jackson coalesced into the Whig Party. National Republicans, Anti-Masons and others joined the new party.</t>
  </si>
  <si>
    <t>https://en.wikipedia.org/wiki/Nullifier_Party</t>
  </si>
  <si>
    <t>https://en.wikipedia.org/wiki/Anti-Masonic_Party</t>
  </si>
  <si>
    <t>https://en.wikipedia.org/wiki/Whig_Party_(United_States)</t>
  </si>
  <si>
    <t>The Whig Party was a mid-19th century political party in the United States. Alongside the Democratic Party, it was one of two major parties between the late 1830s and the early 1850s and part of the Second Party System.
The Whigs emerged in the 1830s in opposition to President Andrew Jackson, pulling together former members of the National Republican Party, the Anti-Masonic Party, and disaffected Democrats.</t>
  </si>
  <si>
    <t>https://en.wikipedia.org/wiki/Free_Soil_Party</t>
  </si>
  <si>
    <t>https://en.wikipedia.org/wiki/Know_Nothing</t>
  </si>
  <si>
    <t>The Know Nothings were a nativist political movement in the United States in the 1850s, officially known as the Native American Party before 1855, and afterwards simply the American Party. Members of the movement were required to say "I know nothing" whenever they were asked about its specifics by outsiders, providing the group with its colloquial name.
Supporters of the Know Nothing movement believed that an alleged "Romanist" conspiracy to subvert civil and religious liberty in the United States was being hatched by Catholics. Therefore, they sought to politically organize native-born Protestants in defense of their traditional religious and political values.
The Know Nothing movement briefly emerged as a major political party in the form of the American Party. The collapse of the Whig Party after the passage of the Kansas–Nebraska Act left an opening for the emergence of a new major political party in opposition to the Democratic Party.</t>
  </si>
  <si>
    <t>https://en.wikipedia.org/wiki/Republican_Party_(United_States)</t>
  </si>
  <si>
    <t>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t>
  </si>
  <si>
    <t>https://en.wikipedia.org/wiki/Southern_Democrats</t>
  </si>
  <si>
    <t>Southern Democrats are members of the U.S. Democratic Party who reside in the Southern United States.
Before the American Civil War, Southern Democrats were mostly whites living in the South who believed in Jacksonian democracy. In the 19th century, they defended slavery in the United States and promoted its expansion into the Western United States against the Free Soil opposition in the Northern United States. The United States presidential election of 1860 formalized the split in the Democratic Party and brought about the American Civil War. After the Reconstruction Era ended in the late 1870s, so-called redeemers were Southern Democrats who controlled all the southern states and disenfranchised African-Americans.</t>
  </si>
  <si>
    <t>https://en.wikipedia.org/wiki/Northern_Democratic_Party</t>
  </si>
  <si>
    <t>The Northern Democratic Party was a leg of the Democratic Party during the 1860 presidential election, when the party split in two factions because of disagreements over slavery. They held two conventions before the election, in Charleston and Baltimore, where they established their platform. Democratic Candidate Stephen A. Douglas was the nominee and lost to Republican Candidate Abraham Lincoln, whose victory prompted the secession of 11 Southern states and the formation of the Confederate States of America.</t>
  </si>
  <si>
    <t>https://en.wikipedia.org/wiki/Constitutional_Union_Party_(United_States)</t>
  </si>
  <si>
    <t>https://en.wikipedia.org/wiki/National_Union_Party_(United_States)</t>
  </si>
  <si>
    <t>https://en.wikipedia.org/wiki/Liberal_Republican_Party_(United_States)</t>
  </si>
  <si>
    <t>The Constitutional Union Party was a political party which stood in the 1860 United States elections. It mostly consisted of conservative former Whigs from the Southern United States who wanted to avoid secession over slavery and refused to join either the Republican Party or Democratic Party.</t>
  </si>
  <si>
    <t>The National Union Party, commonly the Union Party or Unionists, was a wartime coalition of Republicans, War Democrats, and border state Unconditional Unionists that supported the Lincoln Administration during the American Civil War. It held the 1864 National Union Convention that nominated Abraham Lincoln for president and Andrew Johnson for vice president in the 1864 United States presidential election.</t>
  </si>
  <si>
    <t>The Liberal Republican Party was an American political party that was organized in May 1872 to oppose the reelection of President Ulysses S. Grant and his Radical Republican supporters in the presidential election of 1872. The party opposed Grant's Reconstruction policies, particularly the Enforcement Acts that destroyed the Ku Klux Klan. It lost in a landslide, and disappeared from the national stage after the 1872 election.</t>
  </si>
  <si>
    <t>The People's Party, also known as the Populist Party or simply the Populists, was an agrarian populist political party in the United States in the late 19th century. The Populist Party emerged in the early 1890s as an important force in the Southern and Western United States, but declined rapidly after the 1896 United States presidential election in which most of its natural constituency was absorbed by the Bryan wing of the Democratic Party.</t>
  </si>
  <si>
    <t>https://en.wikipedia.org/wiki/People%27s_Party_(United_States)</t>
  </si>
  <si>
    <t>https://en.wikipedia.org/wiki/1896_United_States_presidential_election</t>
  </si>
  <si>
    <t>The 1896 Democratic National Convention repudiated the Cleveland administration and nominated Bryan on the fifth presidential ballot. Bryan then won the nomination of the Populist Party, which had won several states in 1892 and shared many of Bryan's policies.
While the Democrats and Populists both nominated Bryan, the two parties had different vice presidential running mates.</t>
  </si>
  <si>
    <t>https://en.wikipedia.org/wiki/Bull_Moose_Party</t>
  </si>
  <si>
    <t>The Progressive Party, popularly nicknamed the Bull Moose Party, was a third party in the United States formed in 1912 by former president Theodore Roosevelt after he lost the presidential nomination of the Republican Party to his former protégé turned rival, incumbent president William Howard Taft. The new party was known for taking advanced positions on progressive reforms and attracting leading national reformers. The party was also ideologically deeply connected with America's radical-liberal tradition.
After the party's defeat in the 1912 United States presidential election, it went into rapid decline in elections until 1918, disappearing by 1920. The "Bull Moose" nickname originated when Roosevelt boasted that he felt "strong as a bull moose" after losing the Republican nomination in June 1912 at the Chicago convention.</t>
  </si>
  <si>
    <t>https://en.wikipedia.org/wiki/Socialist_Party_of_America</t>
  </si>
  <si>
    <t>The Socialist Party of America (SPA) was a socialist political party in the United States formed in 1901 by a merger between the three-year-old Social Democratic Party of America and disaffected elements of the Socialist Labor Party of America who had split from the main organization in 1899.</t>
  </si>
  <si>
    <t>https://en.wikipedia.org/wiki/Progressive_Party_(United_States,_1924%E2%80%931934)</t>
  </si>
  <si>
    <t>The Progressive Party was a political party created as a vehicle for Robert M. La Follette, Sr. to run for president in the 1924 election. It did not run candidates for other offices, and it disappeared after the election. The party advocated progressive positions such as government ownership of railroads and electric utilities, cheap credit for farmers, the outlawing of child labor, stronger laws to help labor unions, more protection of civil liberties, an end to American imperialism in Latin America, and a referendum before any president could lead the nation into war.</t>
  </si>
  <si>
    <t>https://en.wikipedia.org/wiki/Dixiecrat</t>
  </si>
  <si>
    <t>The States' Rights Democratic Party (whose members are often called the Dixiecrats), also colloquially referred to as the Dixiecrat Party was a short-lived segregationist political party in the United States, active primarily in the South. It arose due to a Southern regional split in opposition to the national Democratic Party. After President Harry S. Truman, the leader of the Democratic Party, ordered integration of the military in 1948 and other actions to address civil rights of African Americans, including the first presidential proposal for comprehensive civil and voting rights, many Southern white politicians who objected to this course organized themselves as a breakaway faction. They wished to protect the ability of states to maintain racial segregation. Its members were referred to as "Dixiecrats", a portmanteau of "Dixie", referring to the Southern United States, and "Democrat".</t>
  </si>
  <si>
    <t>A total of 15 electors – eight from Mississippi, six from Alabama, and one from Oklahoma – all refused to vote for either Kennedy or Nixon, and instead cast their votes for Senator Harry F. Byrd of Virginia, a conservative Democrat, even though he had not been a candidate for president.</t>
  </si>
  <si>
    <t>https://en.wikipedia.org/wiki/1960_United_States_presidential_election</t>
  </si>
  <si>
    <t>https://en.wikipedia.org/wiki/American_Independent_Party</t>
  </si>
  <si>
    <t>The American Independent Party (AIP) is a far-right political party in the United States that was established in 1967. The AIP is best known for its nomination of Democratic then-former Governor George Wallace of Alabama, who carried five states in the 1968 presidential election running on a populist, hard-line anti-Communist, pro-"law and order" platform, appealing to working-class white voters and widely understood by political analysts as having pro-segregationist or white supremacist undertones, against Richard Nixon and Hubert Humphrey. In 1976, the party split into the modern American Independent Party and the American Party.</t>
  </si>
  <si>
    <t>https://en.wikipedia.org/wiki/Libertarian_Party_(United_States)</t>
  </si>
  <si>
    <t>The Libertarian Party (LP) is a classical liberal political party in the United States that promotes civil liberties, non-interventionism, laissez-faire capitalism, and limiting the size and scope of government. The party was officially formed on December 11, 1971, in Colorado Springs. The organizers of the party drew inspiration from the works and ideas of the prominent Austrian school economist Murray Rothbard. The founding of the party was prompted in part due to concerns about the Nixon administration, the Vietnam War, conscription, and the introduction of fiat money.</t>
  </si>
  <si>
    <t>https://en.wikipedia.org/wiki/Reform_Party_of_the_United_States_of_America</t>
  </si>
  <si>
    <t>The Reform Party of the United States of America (RPUSA), generally known as the Reform Party USA or the Reform Party, is a centrist political party in the United States, founded in 1995 by Ross Perot.
Perot believed Americans were disillusioned with the state of politics as being corrupt and unable to deal with vital issues. After he received 18.9 percent of the popular vote as an independent candidate in the 1992 presidential election, he founded the Reform Party and presented it as a viable alternative to Republicans and Democrats.</t>
  </si>
  <si>
    <t>https://en.wikipedia.org/wiki/1788%E2%80%9389_United_States_presidential_election</t>
  </si>
  <si>
    <t>election_link</t>
  </si>
  <si>
    <t>ps_link</t>
  </si>
  <si>
    <t>https://en.wikipedia.org/wiki/First_Party_System</t>
  </si>
  <si>
    <t>https://en.wikipedia.org/wiki/Second_Party_System</t>
  </si>
  <si>
    <t>https://en.wikipedia.org/wiki/Third_Party_System</t>
  </si>
  <si>
    <t>https://en.wikipedia.org/wiki/Fourth_Party_System</t>
  </si>
  <si>
    <t>https://en.wikipedia.org/wiki/Fifth_Party_System</t>
  </si>
  <si>
    <t>https://en.wikipedia.org/wiki/Sixth_Party_System</t>
  </si>
  <si>
    <t>https://en.wikipedia.org/wiki/Sixth_Party_System#Proposed_Seventh_Party_System</t>
  </si>
  <si>
    <t>1890s</t>
  </si>
  <si>
    <t>comment</t>
  </si>
  <si>
    <t>Since no candidate received a majority of the electoral vote, the House of Representatives elected the president. In the House, 13 state delegations voted for Adams, seven for Jackson, and four for Crawford.</t>
  </si>
  <si>
    <t>Johnson, a Democrat, was nominated on the National Union ticket along with Lincoln, a Republican.</t>
  </si>
  <si>
    <t>* All popular votes were originally for Horace Greeley and Benjamin Gratz Brown.</t>
  </si>
  <si>
    <t>n/a *</t>
  </si>
  <si>
    <t>100.0% *</t>
  </si>
  <si>
    <t>* All the electoral votes came from South Carolina, where the electors were chosen by the legislature and not by popular vote.</t>
  </si>
  <si>
    <t>* States had varying methods for choosing presidential electors. In five states, the state legislature chose electors. The other six chose electors through some form involving a popular vote, though in only two states did the choice depend directly on a statewide vote.</t>
  </si>
  <si>
    <t>* Nine of the 15 states eligible to choose representatives to the electoral college did so by a vote of the state legislature; the remaining six employed some form of popular vote.</t>
  </si>
  <si>
    <t>43.8% *</t>
  </si>
  <si>
    <t>* Only 9 of the 16 states used any form of popular vote. Those states that did choose electors by popular vote had widely varying restrictions on suffrage via property requirements.</t>
  </si>
  <si>
    <t>53.4% *</t>
  </si>
  <si>
    <t>46.6% *</t>
  </si>
  <si>
    <t>Kamala Harris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</si>
</sst>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15" x14ac:knownFonts="1">
    <font>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9"/>
      <color indexed="81"/>
      <name val="Tahoma"/>
      <family val="2"/>
    </font>
    <font>
      <b/>
      <sz val="9"/>
      <color indexed="81"/>
      <name val="Tahoma"/>
      <family val="2"/>
    </font>
    <font>
      <sz val="12"/>
      <color rgb="FF202122"/>
      <name val="Arial"/>
      <family val="2"/>
    </font>
    <font>
      <b/>
      <sz val="11"/>
      <color rgb="FFFF0000"/>
      <name val="Calibri"/>
      <family val="2"/>
      <scheme val="minor"/>
    </font>
    <font>
      <sz val="12"/>
      <color rgb="FFFF0000"/>
      <name val="Arial"/>
      <family val="2"/>
    </font>
    <font>
      <sz val="12"/>
      <name val="Arial"/>
      <family val="2"/>
    </font>
    <font>
      <sz val="10"/>
      <color rgb="FF000000"/>
      <name val="Arial"/>
      <family val="2"/>
    </font>
    <font>
      <sz val="10"/>
      <color rgb="FFFF0000"/>
      <name val="Arial"/>
      <family val="2"/>
    </font>
    <font>
      <sz val="18"/>
      <color theme="1"/>
      <name val="Calibri"/>
      <family val="2"/>
      <scheme val="minor"/>
    </font>
    <font>
      <sz val="11"/>
      <name val="Calibri"/>
      <family val="2"/>
      <scheme val="minor"/>
    </font>
    <font>
      <sz val="11"/>
      <color rgb="FF202122"/>
      <name val="Arial"/>
      <family val="2"/>
    </font>
  </fonts>
  <fills count="22">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theme="4"/>
        <bgColor indexed="64"/>
      </patternFill>
    </fill>
    <fill>
      <patternFill patternType="solid">
        <fgColor theme="7" tint="-0.249977111117893"/>
        <bgColor indexed="64"/>
      </patternFill>
    </fill>
    <fill>
      <patternFill patternType="solid">
        <fgColor rgb="FF00B050"/>
        <bgColor indexed="64"/>
      </patternFill>
    </fill>
    <fill>
      <patternFill patternType="solid">
        <fgColor rgb="FFFFFFCC"/>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CCFF"/>
        <bgColor indexed="64"/>
      </patternFill>
    </fill>
    <fill>
      <patternFill patternType="solid">
        <fgColor rgb="FF92D050"/>
        <bgColor indexed="64"/>
      </patternFill>
    </fill>
    <fill>
      <patternFill patternType="solid">
        <fgColor rgb="FFFF000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00FF00"/>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ck">
        <color rgb="FFFF0000"/>
      </left>
      <right style="thin">
        <color indexed="64"/>
      </right>
      <top style="thick">
        <color rgb="FFFF0000"/>
      </top>
      <bottom/>
      <diagonal/>
    </border>
    <border>
      <left/>
      <right style="thick">
        <color rgb="FFFF0000"/>
      </right>
      <top style="thick">
        <color rgb="FFFF0000"/>
      </top>
      <bottom/>
      <diagonal/>
    </border>
    <border>
      <left style="thick">
        <color rgb="FFFF0000"/>
      </left>
      <right/>
      <top/>
      <bottom style="thick">
        <color rgb="FFFF0000"/>
      </bottom>
      <diagonal/>
    </border>
    <border>
      <left/>
      <right style="thick">
        <color rgb="FFFF0000"/>
      </right>
      <top/>
      <bottom style="thick">
        <color rgb="FFFF0000"/>
      </bottom>
      <diagonal/>
    </border>
  </borders>
  <cellStyleXfs count="4">
    <xf numFmtId="0" fontId="0" fillId="0" borderId="0"/>
    <xf numFmtId="43" fontId="1" fillId="0" borderId="0" applyFont="0" applyFill="0" applyBorder="0" applyAlignment="0" applyProtection="0"/>
    <xf numFmtId="0" fontId="3" fillId="0" borderId="0" applyNumberFormat="0" applyFill="0" applyBorder="0" applyAlignment="0" applyProtection="0"/>
    <xf numFmtId="9" fontId="1" fillId="0" borderId="0" applyFont="0" applyFill="0" applyBorder="0" applyAlignment="0" applyProtection="0"/>
  </cellStyleXfs>
  <cellXfs count="55">
    <xf numFmtId="0" fontId="0" fillId="0" borderId="0" xfId="0"/>
    <xf numFmtId="0" fontId="3" fillId="0" borderId="0" xfId="2"/>
    <xf numFmtId="164" fontId="0" fillId="0" borderId="0" xfId="1" applyNumberFormat="1" applyFont="1"/>
    <xf numFmtId="164" fontId="2" fillId="0" borderId="0" xfId="1" applyNumberFormat="1" applyFont="1"/>
    <xf numFmtId="164" fontId="7" fillId="0" borderId="0" xfId="1" applyNumberFormat="1" applyFont="1"/>
    <xf numFmtId="3" fontId="6" fillId="0" borderId="0" xfId="0" applyNumberFormat="1" applyFont="1" applyAlignment="1">
      <alignment horizontal="right" vertical="center" wrapText="1"/>
    </xf>
    <xf numFmtId="3" fontId="6" fillId="0" borderId="0" xfId="0" applyNumberFormat="1" applyFont="1" applyAlignment="1">
      <alignment vertical="center" wrapText="1"/>
    </xf>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3" fontId="9" fillId="3" borderId="0" xfId="0" applyNumberFormat="1" applyFont="1" applyFill="1" applyAlignment="1">
      <alignment horizontal="right" vertical="center" wrapText="1"/>
    </xf>
    <xf numFmtId="0" fontId="10" fillId="0" borderId="0" xfId="0" applyFont="1"/>
    <xf numFmtId="0" fontId="11" fillId="0" borderId="3" xfId="0" applyFont="1" applyBorder="1"/>
    <xf numFmtId="0" fontId="10" fillId="0" borderId="3" xfId="0" applyFont="1" applyBorder="1"/>
    <xf numFmtId="0" fontId="2" fillId="0" borderId="3" xfId="0" applyFont="1" applyBorder="1"/>
    <xf numFmtId="0" fontId="0" fillId="0" borderId="3" xfId="0" applyBorder="1"/>
    <xf numFmtId="0" fontId="0" fillId="3" borderId="0" xfId="0" applyFill="1" applyAlignment="1">
      <alignment wrapText="1"/>
    </xf>
    <xf numFmtId="3" fontId="8" fillId="3" borderId="4" xfId="0" applyNumberFormat="1" applyFont="1" applyFill="1" applyBorder="1" applyAlignment="1">
      <alignment horizontal="right" vertical="center" wrapText="1"/>
    </xf>
    <xf numFmtId="3" fontId="8" fillId="3" borderId="6" xfId="0" applyNumberFormat="1" applyFont="1" applyFill="1" applyBorder="1" applyAlignment="1">
      <alignment horizontal="right" vertical="center" wrapText="1"/>
    </xf>
    <xf numFmtId="0" fontId="0" fillId="0" borderId="0" xfId="1" applyNumberFormat="1" applyFont="1"/>
    <xf numFmtId="165" fontId="0" fillId="0" borderId="0" xfId="3" applyNumberFormat="1" applyFont="1"/>
    <xf numFmtId="165" fontId="0" fillId="17" borderId="0" xfId="3" applyNumberFormat="1" applyFont="1" applyFill="1"/>
    <xf numFmtId="0" fontId="0" fillId="18" borderId="0" xfId="0" applyFill="1"/>
    <xf numFmtId="165" fontId="0" fillId="18" borderId="0" xfId="3" applyNumberFormat="1" applyFont="1" applyFill="1"/>
    <xf numFmtId="0" fontId="12" fillId="18" borderId="0" xfId="0" applyFont="1" applyFill="1"/>
    <xf numFmtId="0" fontId="13" fillId="0" borderId="0" xfId="0" applyFont="1"/>
    <xf numFmtId="0" fontId="14" fillId="2" borderId="0" xfId="0" applyFont="1" applyFill="1"/>
    <xf numFmtId="164" fontId="2" fillId="20" borderId="0" xfId="1" applyNumberFormat="1" applyFont="1" applyFill="1"/>
    <xf numFmtId="0" fontId="2" fillId="20" borderId="0" xfId="0" applyFont="1" applyFill="1"/>
    <xf numFmtId="164" fontId="0" fillId="20" borderId="0" xfId="1" applyNumberFormat="1" applyFont="1" applyFill="1"/>
    <xf numFmtId="164" fontId="2" fillId="20" borderId="1" xfId="1" applyNumberFormat="1" applyFont="1" applyFill="1" applyBorder="1"/>
    <xf numFmtId="164" fontId="2" fillId="20" borderId="2" xfId="1" applyNumberFormat="1" applyFont="1" applyFill="1" applyBorder="1"/>
    <xf numFmtId="0" fontId="8" fillId="20" borderId="1" xfId="0" applyFont="1" applyFill="1" applyBorder="1" applyAlignment="1">
      <alignment vertical="center" wrapText="1"/>
    </xf>
    <xf numFmtId="0" fontId="2" fillId="20" borderId="2" xfId="0" applyFont="1" applyFill="1" applyBorder="1"/>
    <xf numFmtId="0" fontId="6" fillId="20" borderId="0" xfId="0" applyFont="1" applyFill="1" applyAlignment="1">
      <alignment vertical="center" wrapText="1"/>
    </xf>
    <xf numFmtId="164" fontId="7" fillId="20" borderId="5" xfId="1" applyNumberFormat="1" applyFont="1" applyFill="1" applyBorder="1" applyAlignment="1">
      <alignment horizontal="right"/>
    </xf>
    <xf numFmtId="164" fontId="7" fillId="20" borderId="7" xfId="1" applyNumberFormat="1" applyFont="1" applyFill="1" applyBorder="1" applyAlignment="1">
      <alignment horizontal="right"/>
    </xf>
    <xf numFmtId="3" fontId="8" fillId="20" borderId="0" xfId="0" applyNumberFormat="1" applyFont="1" applyFill="1" applyAlignment="1">
      <alignment horizontal="right" vertical="center" wrapText="1"/>
    </xf>
    <xf numFmtId="0" fontId="0" fillId="21" borderId="0" xfId="0" applyFill="1"/>
    <xf numFmtId="0" fontId="0" fillId="19" borderId="0" xfId="0" applyFill="1"/>
    <xf numFmtId="0" fontId="6" fillId="2" borderId="0" xfId="0" applyFont="1" applyFill="1"/>
    <xf numFmtId="3" fontId="6" fillId="0" borderId="0" xfId="0" applyNumberFormat="1" applyFont="1"/>
  </cellXfs>
  <cellStyles count="4">
    <cellStyle name="Comma" xfId="1" builtinId="3"/>
    <cellStyle name="Hyperlink" xfId="2" builtinId="8"/>
    <cellStyle name="Normal" xfId="0" builtinId="0"/>
    <cellStyle name="Percent" xfId="3" builtinId="5"/>
  </cellStyles>
  <dxfs count="1">
    <dxf>
      <font>
        <color rgb="FF9C0006"/>
      </font>
      <fill>
        <patternFill>
          <bgColor rgb="FFFFC7CE"/>
        </patternFill>
      </fill>
    </dxf>
  </dxfs>
  <tableStyles count="0" defaultTableStyle="TableStyleMedium2" defaultPivotStyle="PivotStyleLight16"/>
  <colors>
    <mruColors>
      <color rgb="FF00FF00"/>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A5CF-B1B8-442F-BD8F-CD0ED9E53E9B}">
  <sheetPr>
    <tabColor rgb="FFFF0000"/>
  </sheetPr>
  <dimension ref="A1:AA144"/>
  <sheetViews>
    <sheetView topLeftCell="C119" workbookViewId="0">
      <selection activeCell="V149" sqref="V149"/>
    </sheetView>
  </sheetViews>
  <sheetFormatPr defaultRowHeight="15" x14ac:dyDescent="0.25"/>
  <cols>
    <col min="1" max="1" width="16.42578125" bestFit="1" customWidth="1"/>
    <col min="2" max="2" width="12.5703125" bestFit="1" customWidth="1"/>
    <col min="3" max="3" width="13.28515625" bestFit="1" customWidth="1"/>
    <col min="4" max="4" width="39.140625" bestFit="1" customWidth="1"/>
    <col min="5" max="5" width="21.85546875" bestFit="1" customWidth="1"/>
    <col min="6" max="6" width="4.5703125" customWidth="1"/>
    <col min="7" max="7" width="14.42578125" style="2" bestFit="1" customWidth="1"/>
    <col min="8" max="8" width="21" style="33" bestFit="1" customWidth="1"/>
    <col min="9" max="9" width="16.28515625" style="42" bestFit="1" customWidth="1"/>
    <col min="10" max="10" width="4" style="41" bestFit="1" customWidth="1"/>
    <col min="11" max="11" width="3" style="41" bestFit="1" customWidth="1"/>
    <col min="12" max="12" width="12.7109375" style="41" bestFit="1" customWidth="1"/>
    <col min="13" max="13" width="9.5703125" style="41" bestFit="1" customWidth="1"/>
    <col min="14" max="14" width="3" style="41" bestFit="1" customWidth="1"/>
    <col min="15" max="15" width="5" style="41" bestFit="1" customWidth="1"/>
    <col min="16" max="16" width="7.5703125" bestFit="1" customWidth="1"/>
    <col min="17" max="17" width="5.85546875" customWidth="1"/>
    <col min="18" max="23" width="4.5703125" customWidth="1"/>
    <col min="24" max="24" width="5.7109375" customWidth="1"/>
    <col min="25" max="25" width="32.42578125" bestFit="1" customWidth="1"/>
    <col min="26" max="26" width="12.5703125" bestFit="1" customWidth="1"/>
  </cols>
  <sheetData>
    <row r="1" spans="1:27" x14ac:dyDescent="0.25">
      <c r="A1" t="s">
        <v>0</v>
      </c>
      <c r="B1" t="s">
        <v>106</v>
      </c>
      <c r="C1" t="s">
        <v>1</v>
      </c>
      <c r="D1" t="s">
        <v>2</v>
      </c>
      <c r="E1" t="s">
        <v>6</v>
      </c>
      <c r="F1" t="s">
        <v>14</v>
      </c>
      <c r="G1" s="2" t="s">
        <v>8</v>
      </c>
      <c r="H1" s="33" t="s">
        <v>10</v>
      </c>
      <c r="I1" s="40" t="s">
        <v>9</v>
      </c>
      <c r="J1" s="41" t="s">
        <v>77</v>
      </c>
      <c r="K1" s="41" t="s">
        <v>78</v>
      </c>
      <c r="L1" s="41" t="s">
        <v>79</v>
      </c>
      <c r="M1" s="41" t="s">
        <v>80</v>
      </c>
      <c r="N1" s="41" t="s">
        <v>81</v>
      </c>
      <c r="O1" s="41" t="s">
        <v>82</v>
      </c>
      <c r="P1" s="7" t="s">
        <v>115</v>
      </c>
      <c r="Q1" t="s">
        <v>116</v>
      </c>
      <c r="R1" t="s">
        <v>118</v>
      </c>
      <c r="S1" t="s">
        <v>117</v>
      </c>
      <c r="T1" s="32" t="s">
        <v>119</v>
      </c>
      <c r="U1" s="32" t="s">
        <v>120</v>
      </c>
      <c r="V1" s="32" t="s">
        <v>121</v>
      </c>
      <c r="W1" t="s">
        <v>186</v>
      </c>
      <c r="X1" t="s">
        <v>187</v>
      </c>
      <c r="Y1" t="s">
        <v>188</v>
      </c>
      <c r="Z1" t="s">
        <v>249</v>
      </c>
      <c r="AA1" t="s">
        <v>259</v>
      </c>
    </row>
    <row r="2" spans="1:27" x14ac:dyDescent="0.25">
      <c r="A2">
        <v>1</v>
      </c>
      <c r="B2">
        <f>VLOOKUP(D2,party!A:E,5,0)</f>
        <v>1</v>
      </c>
      <c r="C2">
        <v>1788</v>
      </c>
      <c r="D2" s="20" t="s">
        <v>3</v>
      </c>
      <c r="E2" t="s">
        <v>7</v>
      </c>
      <c r="F2" s="1"/>
      <c r="G2" s="4">
        <v>43782</v>
      </c>
      <c r="H2" s="33">
        <v>1</v>
      </c>
      <c r="I2" s="42">
        <v>69</v>
      </c>
      <c r="P2" s="8" t="s">
        <v>264</v>
      </c>
      <c r="Q2" t="str">
        <f>IF(IFERROR(VLOOKUP($D2,party!$A:$D,2,0),"")="","",IFERROR(VLOOKUP($D2,party!$A:$D,2,0),""))</f>
        <v>Not a party.</v>
      </c>
      <c r="R2" t="str">
        <f>IF(IFERROR(VLOOKUP($D2,party!$A:$D,3,0),"")="","",IFERROR(VLOOKUP($D2,party!$A:$D,3,0),""))</f>
        <v>https://en.wikipedia.org/wiki/Independent_politician</v>
      </c>
      <c r="S2" t="str">
        <f>IF(IFERROR(VLOOKUP($D2,party!$A:$D,4,0),"")="","",IFERROR(VLOOKUP($D2,party!$A:$D,4,0),""))</f>
        <v>An independent, non-partisan politician or non-affiliated politician is a politician not affiliated with any political party or bureaucratic association. There are numerous reasons why someone may stand for office as an independent.
George Washington is the only U.S. president elected as an independent to date. Washington opposed the development of political parties. He feared that partisanship would eventually destroy the country, and famously warned against "the baneful effects of the spirit of party" in his 1796 Farewell Address.</v>
      </c>
      <c r="T2">
        <f>IF(H2="", "", VALUE(H2))</f>
        <v>1</v>
      </c>
      <c r="U2" t="str">
        <f t="shared" ref="U2:U33" si="0">_xlfn.CONCAT(TEXT(A2,"#"), IF(AND(A2&gt;=10, A2&lt;=19), "th", IF(MOD(A2,10) = 1, "st", IF(MOD(A2,10) = 2, "nd", IF(MOD(A2,10) = 3, "rd", "th")))))</f>
        <v>1st</v>
      </c>
      <c r="V2" t="b">
        <v>1</v>
      </c>
      <c r="W2" t="s">
        <v>171</v>
      </c>
      <c r="X2" t="str">
        <f>IF(V2, W2, "")</f>
        <v/>
      </c>
      <c r="Y2" t="str">
        <f>IF(NOT(V2), W2, "")</f>
        <v/>
      </c>
      <c r="Z2" s="51" t="s">
        <v>248</v>
      </c>
      <c r="AA2" s="8" t="s">
        <v>266</v>
      </c>
    </row>
    <row r="3" spans="1:27" x14ac:dyDescent="0.25">
      <c r="A3">
        <v>1</v>
      </c>
      <c r="B3">
        <f>VLOOKUP(D3,party!A:E,5,0)</f>
        <v>10</v>
      </c>
      <c r="C3">
        <v>1788</v>
      </c>
      <c r="D3" s="9" t="s">
        <v>4</v>
      </c>
      <c r="G3" s="2">
        <v>0</v>
      </c>
      <c r="H3" s="34"/>
      <c r="I3" s="42">
        <v>65</v>
      </c>
      <c r="P3" s="8" t="s">
        <v>263</v>
      </c>
      <c r="Q3" t="str">
        <f>IF(IFERROR(VLOOKUP($D3,party!$A:$D,2,0),"")="","",IFERROR(VLOOKUP($D3,party!$A:$D,2,0),""))</f>
        <v/>
      </c>
      <c r="R3" t="str">
        <f>IF(IFERROR(VLOOKUP($D3,party!$A:$D,3,0),"")="","",IFERROR(VLOOKUP($D3,party!$A:$D,3,0),""))</f>
        <v>https://en.wikipedia.org/wiki/Federalist_Party</v>
      </c>
      <c r="S3" t="str">
        <f>IF(IFERROR(VLOOKUP($D3,party!$A:$D,4,0),"")="","",IFERROR(VLOOKUP($D3,party!$A:$D,4,0),""))</f>
        <v>The Federalist Party was a conservative and nationalist American political party and the first political party in the United States. It dominated the national government under Alexander Hamilton from 1789 to 1801. The party was defeated by the Democratic-Republican Party in 1800, and it became a minority party while keeping its stronghold in New England. It made a brief resurgence by opposing the War of 1812, then collapsed with its last presidential candidate in 1816. Remnants lasted for a few years afterwards.</v>
      </c>
      <c r="T3" t="str">
        <f t="shared" ref="T3:T66" si="1">IF(H3="", "", VALUE(H3))</f>
        <v/>
      </c>
      <c r="U3" t="str">
        <f t="shared" si="0"/>
        <v>1st</v>
      </c>
      <c r="V3" t="b">
        <v>0</v>
      </c>
      <c r="W3" t="s">
        <v>172</v>
      </c>
      <c r="X3" t="str">
        <f t="shared" ref="X3:X66" si="2">IF(V3, W3, "")</f>
        <v/>
      </c>
      <c r="Y3" t="str">
        <f t="shared" ref="Y3:Y66" si="3">IF(NOT(V3), W3, "")</f>
        <v>John Adams and 8 more</v>
      </c>
      <c r="Z3" s="51" t="s">
        <v>248</v>
      </c>
      <c r="AA3" s="8" t="s">
        <v>266</v>
      </c>
    </row>
    <row r="4" spans="1:27" x14ac:dyDescent="0.25">
      <c r="A4">
        <v>1</v>
      </c>
      <c r="B4">
        <f>VLOOKUP(D4,party!A:E,5,0)</f>
        <v>21</v>
      </c>
      <c r="C4">
        <v>1788</v>
      </c>
      <c r="D4" s="21" t="s">
        <v>5</v>
      </c>
      <c r="G4" s="2">
        <v>0</v>
      </c>
      <c r="H4" s="34"/>
      <c r="I4" s="42">
        <v>4</v>
      </c>
      <c r="P4" s="8" t="s">
        <v>263</v>
      </c>
      <c r="Q4" t="str">
        <f>IF(IFERROR(VLOOKUP($D4,party!$A:$D,2,0),"")="","",IFERROR(VLOOKUP($D4,party!$A:$D,2,0),""))</f>
        <v>Not a party.</v>
      </c>
      <c r="R4" t="str">
        <f>IF(IFERROR(VLOOKUP($D4,party!$A:$D,3,0),"")="","",IFERROR(VLOOKUP($D4,party!$A:$D,3,0),""))</f>
        <v>https://en.wikipedia.org/wiki/Anti-Administration_party</v>
      </c>
      <c r="S4" t="str">
        <f>IF(IFERROR(VLOOKUP($D4,party!$A:$D,4,0),"")="","",IFERROR(VLOOKUP($D4,party!$A:$D,4,0),""))</f>
        <v>The Anti-Administration party was an informal political faction in the United States led by James Madison and Thomas Jefferson that opposed policies of then Secretary of the Treasury Alexander Hamilton in the first term of U.S. president George Washington. It was not an organized political party, but an unorganized faction. Most members had been Anti-Federalists in 1788, when they opposed ratification of the U.S. Constitution.
Although contemporaries often referred to Hamilton's opponents as "Anti-Federalists", that term is now seen as imprecise since several Anti-Administration leaders supported ratification, including Virginia Representative James Madison.</v>
      </c>
      <c r="T4" t="str">
        <f t="shared" si="1"/>
        <v/>
      </c>
      <c r="U4" t="str">
        <f t="shared" si="0"/>
        <v>1st</v>
      </c>
      <c r="V4" t="b">
        <v>0</v>
      </c>
      <c r="W4" t="s">
        <v>173</v>
      </c>
      <c r="X4" t="str">
        <f t="shared" si="2"/>
        <v/>
      </c>
      <c r="Y4" t="str">
        <f t="shared" si="3"/>
        <v>George Clinton and 1 more</v>
      </c>
      <c r="Z4" s="51" t="s">
        <v>248</v>
      </c>
      <c r="AA4" s="8" t="s">
        <v>266</v>
      </c>
    </row>
    <row r="5" spans="1:27" ht="15.75" x14ac:dyDescent="0.25">
      <c r="A5">
        <v>2</v>
      </c>
      <c r="B5">
        <f>VLOOKUP(D5,party!A:E,5,0)</f>
        <v>1</v>
      </c>
      <c r="C5">
        <v>1792</v>
      </c>
      <c r="D5" s="20" t="s">
        <v>3</v>
      </c>
      <c r="E5" t="s">
        <v>7</v>
      </c>
      <c r="F5" s="1"/>
      <c r="G5" s="2">
        <v>28579</v>
      </c>
      <c r="H5" s="33">
        <v>1</v>
      </c>
      <c r="I5" s="42">
        <v>132</v>
      </c>
      <c r="P5" s="8" t="s">
        <v>264</v>
      </c>
      <c r="Q5" t="str">
        <f>IF(IFERROR(VLOOKUP($D5,party!$A:$D,2,0),"")="","",IFERROR(VLOOKUP($D5,party!$A:$D,2,0),""))</f>
        <v>Not a party.</v>
      </c>
      <c r="R5" t="str">
        <f>IF(IFERROR(VLOOKUP($D5,party!$A:$D,3,0),"")="","",IFERROR(VLOOKUP($D5,party!$A:$D,3,0),""))</f>
        <v>https://en.wikipedia.org/wiki/Independent_politician</v>
      </c>
      <c r="S5" t="str">
        <f>IF(IFERROR(VLOOKUP($D5,party!$A:$D,4,0),"")="","",IFERROR(VLOOKUP($D5,party!$A:$D,4,0),""))</f>
        <v>An independent, non-partisan politician or non-affiliated politician is a politician not affiliated with any political party or bureaucratic association. There are numerous reasons why someone may stand for office as an independent.
George Washington is the only U.S. president elected as an independent to date. Washington opposed the development of political parties. He feared that partisanship would eventually destroy the country, and famously warned against "the baneful effects of the spirit of party" in his 1796 Farewell Address.</v>
      </c>
      <c r="T5">
        <f t="shared" si="1"/>
        <v>1</v>
      </c>
      <c r="U5" t="str">
        <f t="shared" si="0"/>
        <v>2nd</v>
      </c>
      <c r="V5" t="b">
        <v>1</v>
      </c>
      <c r="W5" t="s">
        <v>171</v>
      </c>
      <c r="X5" t="str">
        <f t="shared" si="2"/>
        <v/>
      </c>
      <c r="Y5" t="str">
        <f t="shared" si="3"/>
        <v/>
      </c>
      <c r="Z5" t="str">
        <f>_xlfn.CONCAT("https://en.wikipedia.org/wiki/", C5, "_United_States_presidential_election")</f>
        <v>https://en.wikipedia.org/wiki/1792_United_States_presidential_election</v>
      </c>
      <c r="AA5" s="53" t="s">
        <v>267</v>
      </c>
    </row>
    <row r="6" spans="1:27" ht="15.75" x14ac:dyDescent="0.25">
      <c r="A6">
        <v>2</v>
      </c>
      <c r="B6">
        <f>VLOOKUP(D6,party!A:E,5,0)</f>
        <v>10</v>
      </c>
      <c r="C6">
        <v>1792</v>
      </c>
      <c r="D6" s="9" t="s">
        <v>4</v>
      </c>
      <c r="G6" s="2">
        <v>0</v>
      </c>
      <c r="H6" s="34"/>
      <c r="I6" s="42">
        <v>77</v>
      </c>
      <c r="P6" s="8" t="s">
        <v>263</v>
      </c>
      <c r="Q6" t="str">
        <f>IF(IFERROR(VLOOKUP($D6,party!$A:$D,2,0),"")="","",IFERROR(VLOOKUP($D6,party!$A:$D,2,0),""))</f>
        <v/>
      </c>
      <c r="R6" t="str">
        <f>IF(IFERROR(VLOOKUP($D6,party!$A:$D,3,0),"")="","",IFERROR(VLOOKUP($D6,party!$A:$D,3,0),""))</f>
        <v>https://en.wikipedia.org/wiki/Federalist_Party</v>
      </c>
      <c r="S6" t="str">
        <f>IF(IFERROR(VLOOKUP($D6,party!$A:$D,4,0),"")="","",IFERROR(VLOOKUP($D6,party!$A:$D,4,0),""))</f>
        <v>The Federalist Party was a conservative and nationalist American political party and the first political party in the United States. It dominated the national government under Alexander Hamilton from 1789 to 1801. The party was defeated by the Democratic-Republican Party in 1800, and it became a minority party while keeping its stronghold in New England. It made a brief resurgence by opposing the War of 1812, then collapsed with its last presidential candidate in 1816. Remnants lasted for a few years afterwards.</v>
      </c>
      <c r="T6" t="str">
        <f t="shared" si="1"/>
        <v/>
      </c>
      <c r="U6" t="str">
        <f t="shared" si="0"/>
        <v>2nd</v>
      </c>
      <c r="V6" t="b">
        <v>0</v>
      </c>
      <c r="W6" t="s">
        <v>12</v>
      </c>
      <c r="X6" t="str">
        <f t="shared" si="2"/>
        <v/>
      </c>
      <c r="Y6" t="str">
        <f t="shared" si="3"/>
        <v>John Adams</v>
      </c>
      <c r="Z6" t="str">
        <f t="shared" ref="Z6:Z69" si="4">_xlfn.CONCAT("https://en.wikipedia.org/wiki/", C6, "_United_States_presidential_election")</f>
        <v>https://en.wikipedia.org/wiki/1792_United_States_presidential_election</v>
      </c>
      <c r="AA6" s="53" t="s">
        <v>267</v>
      </c>
    </row>
    <row r="7" spans="1:27" ht="15.75" x14ac:dyDescent="0.25">
      <c r="A7">
        <v>2</v>
      </c>
      <c r="B7">
        <f>VLOOKUP(D7,party!A:E,5,0)</f>
        <v>23</v>
      </c>
      <c r="C7">
        <v>1792</v>
      </c>
      <c r="D7" s="11" t="s">
        <v>11</v>
      </c>
      <c r="G7" s="2">
        <v>0</v>
      </c>
      <c r="H7" s="34"/>
      <c r="I7" s="42">
        <v>55</v>
      </c>
      <c r="P7" s="8" t="s">
        <v>263</v>
      </c>
      <c r="Q7" t="str">
        <f>IF(IFERROR(VLOOKUP($D7,party!$A:$D,2,0),"")="","",IFERROR(VLOOKUP($D7,party!$A:$D,2,0),""))</f>
        <v/>
      </c>
      <c r="R7" t="str">
        <f>IF(IFERROR(VLOOKUP($D7,party!$A:$D,3,0),"")="","",IFERROR(VLOOKUP($D7,party!$A:$D,3,0),""))</f>
        <v>https://en.wikipedia.org/wiki/Democratic-Republican_Party</v>
      </c>
      <c r="S7" t="str">
        <f>IF(IFERROR(VLOOKUP($D7,party!$A:$D,4,0),"")="","",IFERROR(VLOOKUP($D7,party!$A:$D,4,0),""))</f>
        <v>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v>
      </c>
      <c r="T7" t="str">
        <f t="shared" si="1"/>
        <v/>
      </c>
      <c r="U7" t="str">
        <f t="shared" si="0"/>
        <v>2nd</v>
      </c>
      <c r="V7" t="b">
        <v>0</v>
      </c>
      <c r="W7" t="s">
        <v>174</v>
      </c>
      <c r="X7" t="str">
        <f t="shared" si="2"/>
        <v/>
      </c>
      <c r="Y7" t="str">
        <f t="shared" si="3"/>
        <v>George Clinton and 2 more</v>
      </c>
      <c r="Z7" t="str">
        <f t="shared" si="4"/>
        <v>https://en.wikipedia.org/wiki/1792_United_States_presidential_election</v>
      </c>
      <c r="AA7" s="53" t="s">
        <v>267</v>
      </c>
    </row>
    <row r="8" spans="1:27" ht="15.75" x14ac:dyDescent="0.25">
      <c r="A8">
        <v>3</v>
      </c>
      <c r="B8">
        <f>VLOOKUP(D8,party!A:E,5,0)</f>
        <v>1</v>
      </c>
      <c r="C8">
        <v>1796</v>
      </c>
      <c r="D8" s="20" t="s">
        <v>3</v>
      </c>
      <c r="G8" s="2">
        <v>0</v>
      </c>
      <c r="H8" s="34"/>
      <c r="I8" s="42">
        <v>2</v>
      </c>
      <c r="P8" s="8" t="s">
        <v>263</v>
      </c>
      <c r="Q8" t="str">
        <f>IF(IFERROR(VLOOKUP($D8,party!$A:$D,2,0),"")="","",IFERROR(VLOOKUP($D8,party!$A:$D,2,0),""))</f>
        <v>Not a party.</v>
      </c>
      <c r="R8" t="str">
        <f>IF(IFERROR(VLOOKUP($D8,party!$A:$D,3,0),"")="","",IFERROR(VLOOKUP($D8,party!$A:$D,3,0),""))</f>
        <v>https://en.wikipedia.org/wiki/Independent_politician</v>
      </c>
      <c r="S8" t="str">
        <f>IF(IFERROR(VLOOKUP($D8,party!$A:$D,4,0),"")="","",IFERROR(VLOOKUP($D8,party!$A:$D,4,0),""))</f>
        <v>An independent, non-partisan politician or non-affiliated politician is a politician not affiliated with any political party or bureaucratic association. There are numerous reasons why someone may stand for office as an independent.
George Washington is the only U.S. president elected as an independent to date. Washington opposed the development of political parties. He feared that partisanship would eventually destroy the country, and famously warned against "the baneful effects of the spirit of party" in his 1796 Farewell Address.</v>
      </c>
      <c r="T8" t="str">
        <f t="shared" si="1"/>
        <v/>
      </c>
      <c r="U8" t="str">
        <f t="shared" si="0"/>
        <v>3rd</v>
      </c>
      <c r="V8" t="b">
        <v>0</v>
      </c>
      <c r="W8" t="s">
        <v>7</v>
      </c>
      <c r="X8" t="str">
        <f t="shared" si="2"/>
        <v/>
      </c>
      <c r="Y8" t="str">
        <f t="shared" si="3"/>
        <v>George Washington</v>
      </c>
      <c r="Z8" t="str">
        <f t="shared" si="4"/>
        <v>https://en.wikipedia.org/wiki/1796_United_States_presidential_election</v>
      </c>
      <c r="AA8" s="53" t="s">
        <v>269</v>
      </c>
    </row>
    <row r="9" spans="1:27" ht="15.75" x14ac:dyDescent="0.25">
      <c r="A9">
        <v>3</v>
      </c>
      <c r="B9">
        <f>VLOOKUP(D9,party!A:E,5,0)</f>
        <v>10</v>
      </c>
      <c r="C9">
        <v>1796</v>
      </c>
      <c r="D9" s="9" t="s">
        <v>4</v>
      </c>
      <c r="E9" t="s">
        <v>12</v>
      </c>
      <c r="F9" s="1"/>
      <c r="G9" s="2">
        <v>35726</v>
      </c>
      <c r="H9" s="33">
        <v>0.53400000000000003</v>
      </c>
      <c r="I9" s="42">
        <v>152</v>
      </c>
      <c r="J9" s="41">
        <v>71</v>
      </c>
      <c r="K9" s="41">
        <v>81</v>
      </c>
      <c r="P9" s="8" t="s">
        <v>270</v>
      </c>
      <c r="Q9" t="str">
        <f>IF(IFERROR(VLOOKUP($D9,party!$A:$D,2,0),"")="","",IFERROR(VLOOKUP($D9,party!$A:$D,2,0),""))</f>
        <v/>
      </c>
      <c r="R9" t="str">
        <f>IF(IFERROR(VLOOKUP($D9,party!$A:$D,3,0),"")="","",IFERROR(VLOOKUP($D9,party!$A:$D,3,0),""))</f>
        <v>https://en.wikipedia.org/wiki/Federalist_Party</v>
      </c>
      <c r="S9" t="str">
        <f>IF(IFERROR(VLOOKUP($D9,party!$A:$D,4,0),"")="","",IFERROR(VLOOKUP($D9,party!$A:$D,4,0),""))</f>
        <v>The Federalist Party was a conservative and nationalist American political party and the first political party in the United States. It dominated the national government under Alexander Hamilton from 1789 to 1801. The party was defeated by the Democratic-Republican Party in 1800, and it became a minority party while keeping its stronghold in New England. It made a brief resurgence by opposing the War of 1812, then collapsed with its last presidential candidate in 1816. Remnants lasted for a few years afterwards.</v>
      </c>
      <c r="T9">
        <f t="shared" si="1"/>
        <v>0.53400000000000003</v>
      </c>
      <c r="U9" t="str">
        <f t="shared" si="0"/>
        <v>3rd</v>
      </c>
      <c r="V9" t="b">
        <v>1</v>
      </c>
      <c r="W9" t="s">
        <v>175</v>
      </c>
      <c r="X9" t="str">
        <f t="shared" si="2"/>
        <v>Thomas Pinckney and 5 more</v>
      </c>
      <c r="Y9" t="str">
        <f t="shared" si="3"/>
        <v/>
      </c>
      <c r="Z9" t="str">
        <f t="shared" si="4"/>
        <v>https://en.wikipedia.org/wiki/1796_United_States_presidential_election</v>
      </c>
      <c r="AA9" s="53" t="s">
        <v>269</v>
      </c>
    </row>
    <row r="10" spans="1:27" ht="15.75" x14ac:dyDescent="0.25">
      <c r="A10">
        <v>3</v>
      </c>
      <c r="B10">
        <f>VLOOKUP(D10,party!A:E,5,0)</f>
        <v>23</v>
      </c>
      <c r="C10">
        <v>1796</v>
      </c>
      <c r="D10" s="11" t="s">
        <v>11</v>
      </c>
      <c r="G10" s="2">
        <v>31115</v>
      </c>
      <c r="H10" s="33">
        <v>0.46600000000000003</v>
      </c>
      <c r="I10" s="42">
        <v>122</v>
      </c>
      <c r="J10" s="41">
        <v>68</v>
      </c>
      <c r="K10" s="41">
        <v>54</v>
      </c>
      <c r="P10" s="8" t="s">
        <v>271</v>
      </c>
      <c r="Q10" t="str">
        <f>IF(IFERROR(VLOOKUP($D10,party!$A:$D,2,0),"")="","",IFERROR(VLOOKUP($D10,party!$A:$D,2,0),""))</f>
        <v/>
      </c>
      <c r="R10" t="str">
        <f>IF(IFERROR(VLOOKUP($D10,party!$A:$D,3,0),"")="","",IFERROR(VLOOKUP($D10,party!$A:$D,3,0),""))</f>
        <v>https://en.wikipedia.org/wiki/Democratic-Republican_Party</v>
      </c>
      <c r="S10" t="str">
        <f>IF(IFERROR(VLOOKUP($D10,party!$A:$D,4,0),"")="","",IFERROR(VLOOKUP($D10,party!$A:$D,4,0),""))</f>
        <v>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v>
      </c>
      <c r="T10">
        <f t="shared" si="1"/>
        <v>0.46600000000000003</v>
      </c>
      <c r="U10" t="str">
        <f t="shared" si="0"/>
        <v>3rd</v>
      </c>
      <c r="V10" t="b">
        <v>0</v>
      </c>
      <c r="W10" t="s">
        <v>176</v>
      </c>
      <c r="X10" t="str">
        <f t="shared" si="2"/>
        <v/>
      </c>
      <c r="Y10" t="str">
        <f t="shared" si="3"/>
        <v>Thomas Jefferson and 4 more</v>
      </c>
      <c r="Z10" t="str">
        <f t="shared" si="4"/>
        <v>https://en.wikipedia.org/wiki/1796_United_States_presidential_election</v>
      </c>
      <c r="AA10" s="53" t="s">
        <v>269</v>
      </c>
    </row>
    <row r="11" spans="1:27" x14ac:dyDescent="0.25">
      <c r="A11">
        <v>4</v>
      </c>
      <c r="B11">
        <f>VLOOKUP(D11,party!A:E,5,0)</f>
        <v>23</v>
      </c>
      <c r="C11">
        <v>1800</v>
      </c>
      <c r="D11" s="11" t="s">
        <v>11</v>
      </c>
      <c r="E11" t="s">
        <v>13</v>
      </c>
      <c r="F11" s="1"/>
      <c r="G11" s="5">
        <v>41330</v>
      </c>
      <c r="H11" s="33">
        <v>0.61399999999999999</v>
      </c>
      <c r="I11" s="43">
        <v>73</v>
      </c>
      <c r="P11" t="str">
        <f t="shared" ref="P11:P66" si="5">TEXT(H11,"0.0%")</f>
        <v>61.4%</v>
      </c>
      <c r="Q11" t="str">
        <f>IF(IFERROR(VLOOKUP($D11,party!$A:$D,2,0),"")="","",IFERROR(VLOOKUP($D11,party!$A:$D,2,0),""))</f>
        <v/>
      </c>
      <c r="R11" t="str">
        <f>IF(IFERROR(VLOOKUP($D11,party!$A:$D,3,0),"")="","",IFERROR(VLOOKUP($D11,party!$A:$D,3,0),""))</f>
        <v>https://en.wikipedia.org/wiki/Democratic-Republican_Party</v>
      </c>
      <c r="S11" t="str">
        <f>IF(IFERROR(VLOOKUP($D11,party!$A:$D,4,0),"")="","",IFERROR(VLOOKUP($D11,party!$A:$D,4,0),""))</f>
        <v>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v>
      </c>
      <c r="T11">
        <f t="shared" si="1"/>
        <v>0.61399999999999999</v>
      </c>
      <c r="U11" t="str">
        <f t="shared" si="0"/>
        <v>4th</v>
      </c>
      <c r="V11" t="b">
        <v>1</v>
      </c>
      <c r="W11" t="s">
        <v>171</v>
      </c>
      <c r="X11" t="str">
        <f t="shared" si="2"/>
        <v/>
      </c>
      <c r="Y11" t="str">
        <f t="shared" si="3"/>
        <v/>
      </c>
      <c r="Z11" t="str">
        <f t="shared" si="4"/>
        <v>https://en.wikipedia.org/wiki/1800_United_States_presidential_election</v>
      </c>
    </row>
    <row r="12" spans="1:27" x14ac:dyDescent="0.25">
      <c r="A12">
        <v>4</v>
      </c>
      <c r="B12">
        <f>VLOOKUP(D12,party!A:E,5,0)</f>
        <v>10</v>
      </c>
      <c r="C12">
        <v>1800</v>
      </c>
      <c r="D12" s="9" t="s">
        <v>4</v>
      </c>
      <c r="G12" s="6">
        <v>25952</v>
      </c>
      <c r="H12" s="33">
        <v>0.38600000000000001</v>
      </c>
      <c r="I12" s="44">
        <v>65</v>
      </c>
      <c r="P12" t="str">
        <f t="shared" si="5"/>
        <v>38.6%</v>
      </c>
      <c r="Q12" t="str">
        <f>IF(IFERROR(VLOOKUP($D12,party!$A:$D,2,0),"")="","",IFERROR(VLOOKUP($D12,party!$A:$D,2,0),""))</f>
        <v/>
      </c>
      <c r="R12" t="str">
        <f>IF(IFERROR(VLOOKUP($D12,party!$A:$D,3,0),"")="","",IFERROR(VLOOKUP($D12,party!$A:$D,3,0),""))</f>
        <v>https://en.wikipedia.org/wiki/Federalist_Party</v>
      </c>
      <c r="S12" t="str">
        <f>IF(IFERROR(VLOOKUP($D12,party!$A:$D,4,0),"")="","",IFERROR(VLOOKUP($D12,party!$A:$D,4,0),""))</f>
        <v>The Federalist Party was a conservative and nationalist American political party and the first political party in the United States. It dominated the national government under Alexander Hamilton from 1789 to 1801. The party was defeated by the Democratic-Republican Party in 1800, and it became a minority party while keeping its stronghold in New England. It made a brief resurgence by opposing the War of 1812, then collapsed with its last presidential candidate in 1816. Remnants lasted for a few years afterwards.</v>
      </c>
      <c r="T12">
        <f t="shared" si="1"/>
        <v>0.38600000000000001</v>
      </c>
      <c r="U12" t="str">
        <f t="shared" si="0"/>
        <v>4th</v>
      </c>
      <c r="V12" t="b">
        <v>0</v>
      </c>
      <c r="W12" t="s">
        <v>12</v>
      </c>
      <c r="X12" t="str">
        <f t="shared" si="2"/>
        <v/>
      </c>
      <c r="Y12" t="str">
        <f t="shared" si="3"/>
        <v>John Adams</v>
      </c>
      <c r="Z12" t="str">
        <f t="shared" si="4"/>
        <v>https://en.wikipedia.org/wiki/1800_United_States_presidential_election</v>
      </c>
    </row>
    <row r="13" spans="1:27" x14ac:dyDescent="0.25">
      <c r="A13">
        <v>5</v>
      </c>
      <c r="B13">
        <f>VLOOKUP(D13,party!A:E,5,0)</f>
        <v>23</v>
      </c>
      <c r="C13">
        <v>1804</v>
      </c>
      <c r="D13" s="11" t="s">
        <v>11</v>
      </c>
      <c r="E13" t="s">
        <v>13</v>
      </c>
      <c r="F13" s="1"/>
      <c r="G13" s="5">
        <v>104110</v>
      </c>
      <c r="H13" s="33">
        <v>0.72799999999999998</v>
      </c>
      <c r="I13" s="42">
        <v>162</v>
      </c>
      <c r="P13" t="str">
        <f t="shared" si="5"/>
        <v>72.8%</v>
      </c>
      <c r="Q13" t="str">
        <f>IF(IFERROR(VLOOKUP($D13,party!$A:$D,2,0),"")="","",IFERROR(VLOOKUP($D13,party!$A:$D,2,0),""))</f>
        <v/>
      </c>
      <c r="R13" t="str">
        <f>IF(IFERROR(VLOOKUP($D13,party!$A:$D,3,0),"")="","",IFERROR(VLOOKUP($D13,party!$A:$D,3,0),""))</f>
        <v>https://en.wikipedia.org/wiki/Democratic-Republican_Party</v>
      </c>
      <c r="S13" t="str">
        <f>IF(IFERROR(VLOOKUP($D13,party!$A:$D,4,0),"")="","",IFERROR(VLOOKUP($D13,party!$A:$D,4,0),""))</f>
        <v>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v>
      </c>
      <c r="T13">
        <f t="shared" si="1"/>
        <v>0.72799999999999998</v>
      </c>
      <c r="U13" t="str">
        <f t="shared" si="0"/>
        <v>5th</v>
      </c>
      <c r="V13" t="b">
        <v>1</v>
      </c>
      <c r="W13" t="s">
        <v>171</v>
      </c>
      <c r="X13" t="str">
        <f t="shared" si="2"/>
        <v/>
      </c>
      <c r="Y13" t="str">
        <f t="shared" si="3"/>
        <v/>
      </c>
      <c r="Z13" t="str">
        <f t="shared" si="4"/>
        <v>https://en.wikipedia.org/wiki/1804_United_States_presidential_election</v>
      </c>
    </row>
    <row r="14" spans="1:27" x14ac:dyDescent="0.25">
      <c r="A14">
        <v>5</v>
      </c>
      <c r="B14">
        <f>VLOOKUP(D14,party!A:E,5,0)</f>
        <v>10</v>
      </c>
      <c r="C14">
        <v>1804</v>
      </c>
      <c r="D14" s="9" t="s">
        <v>4</v>
      </c>
      <c r="G14" s="5">
        <v>38919</v>
      </c>
      <c r="H14" s="33">
        <v>0.27200000000000002</v>
      </c>
      <c r="I14" s="42">
        <v>14</v>
      </c>
      <c r="P14" t="str">
        <f t="shared" si="5"/>
        <v>27.2%</v>
      </c>
      <c r="Q14" t="str">
        <f>IF(IFERROR(VLOOKUP($D14,party!$A:$D,2,0),"")="","",IFERROR(VLOOKUP($D14,party!$A:$D,2,0),""))</f>
        <v/>
      </c>
      <c r="R14" t="str">
        <f>IF(IFERROR(VLOOKUP($D14,party!$A:$D,3,0),"")="","",IFERROR(VLOOKUP($D14,party!$A:$D,3,0),""))</f>
        <v>https://en.wikipedia.org/wiki/Federalist_Party</v>
      </c>
      <c r="S14" t="str">
        <f>IF(IFERROR(VLOOKUP($D14,party!$A:$D,4,0),"")="","",IFERROR(VLOOKUP($D14,party!$A:$D,4,0),""))</f>
        <v>The Federalist Party was a conservative and nationalist American political party and the first political party in the United States. It dominated the national government under Alexander Hamilton from 1789 to 1801. The party was defeated by the Democratic-Republican Party in 1800, and it became a minority party while keeping its stronghold in New England. It made a brief resurgence by opposing the War of 1812, then collapsed with its last presidential candidate in 1816. Remnants lasted for a few years afterwards.</v>
      </c>
      <c r="T14">
        <f t="shared" si="1"/>
        <v>0.27200000000000002</v>
      </c>
      <c r="U14" t="str">
        <f t="shared" si="0"/>
        <v>5th</v>
      </c>
      <c r="V14" t="b">
        <v>0</v>
      </c>
      <c r="W14" t="s">
        <v>123</v>
      </c>
      <c r="X14" t="str">
        <f t="shared" si="2"/>
        <v/>
      </c>
      <c r="Y14" t="str">
        <f t="shared" si="3"/>
        <v>Charles Cotesworth Pinckney</v>
      </c>
      <c r="Z14" t="str">
        <f t="shared" si="4"/>
        <v>https://en.wikipedia.org/wiki/1804_United_States_presidential_election</v>
      </c>
    </row>
    <row r="15" spans="1:27" x14ac:dyDescent="0.25">
      <c r="A15">
        <v>6</v>
      </c>
      <c r="B15">
        <f>VLOOKUP(D15,party!A:E,5,0)</f>
        <v>23</v>
      </c>
      <c r="C15">
        <v>1808</v>
      </c>
      <c r="D15" s="11" t="s">
        <v>11</v>
      </c>
      <c r="E15" t="s">
        <v>15</v>
      </c>
      <c r="G15" s="6">
        <v>124732</v>
      </c>
      <c r="H15" s="33">
        <v>0.64700000000000002</v>
      </c>
      <c r="I15" s="45">
        <v>128</v>
      </c>
      <c r="J15" s="41">
        <v>122</v>
      </c>
      <c r="K15" s="41">
        <v>6</v>
      </c>
      <c r="P15" t="str">
        <f t="shared" si="5"/>
        <v>64.7%</v>
      </c>
      <c r="Q15" t="str">
        <f>IF(IFERROR(VLOOKUP($D15,party!$A:$D,2,0),"")="","",IFERROR(VLOOKUP($D15,party!$A:$D,2,0),""))</f>
        <v/>
      </c>
      <c r="R15" t="str">
        <f>IF(IFERROR(VLOOKUP($D15,party!$A:$D,3,0),"")="","",IFERROR(VLOOKUP($D15,party!$A:$D,3,0),""))</f>
        <v>https://en.wikipedia.org/wiki/Democratic-Republican_Party</v>
      </c>
      <c r="S15" t="str">
        <f>IF(IFERROR(VLOOKUP($D15,party!$A:$D,4,0),"")="","",IFERROR(VLOOKUP($D15,party!$A:$D,4,0),""))</f>
        <v>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v>
      </c>
      <c r="T15">
        <f t="shared" si="1"/>
        <v>0.64700000000000002</v>
      </c>
      <c r="U15" t="str">
        <f t="shared" si="0"/>
        <v>6th</v>
      </c>
      <c r="V15" t="b">
        <v>1</v>
      </c>
      <c r="W15" t="s">
        <v>122</v>
      </c>
      <c r="X15" t="str">
        <f t="shared" si="2"/>
        <v>George Clinton</v>
      </c>
      <c r="Y15" t="str">
        <f t="shared" si="3"/>
        <v/>
      </c>
      <c r="Z15" t="str">
        <f t="shared" si="4"/>
        <v>https://en.wikipedia.org/wiki/1808_United_States_presidential_election</v>
      </c>
    </row>
    <row r="16" spans="1:27" x14ac:dyDescent="0.25">
      <c r="A16">
        <v>6</v>
      </c>
      <c r="B16">
        <f>VLOOKUP(D16,party!A:E,5,0)</f>
        <v>10</v>
      </c>
      <c r="C16">
        <v>1808</v>
      </c>
      <c r="D16" s="9" t="s">
        <v>4</v>
      </c>
      <c r="G16" s="5">
        <v>62431</v>
      </c>
      <c r="H16" s="33">
        <v>0.32400000000000001</v>
      </c>
      <c r="I16" s="46">
        <v>47</v>
      </c>
      <c r="P16" t="str">
        <f t="shared" si="5"/>
        <v>32.4%</v>
      </c>
      <c r="Q16" t="str">
        <f>IF(IFERROR(VLOOKUP($D16,party!$A:$D,2,0),"")="","",IFERROR(VLOOKUP($D16,party!$A:$D,2,0),""))</f>
        <v/>
      </c>
      <c r="R16" t="str">
        <f>IF(IFERROR(VLOOKUP($D16,party!$A:$D,3,0),"")="","",IFERROR(VLOOKUP($D16,party!$A:$D,3,0),""))</f>
        <v>https://en.wikipedia.org/wiki/Federalist_Party</v>
      </c>
      <c r="S16" t="str">
        <f>IF(IFERROR(VLOOKUP($D16,party!$A:$D,4,0),"")="","",IFERROR(VLOOKUP($D16,party!$A:$D,4,0),""))</f>
        <v>The Federalist Party was a conservative and nationalist American political party and the first political party in the United States. It dominated the national government under Alexander Hamilton from 1789 to 1801. The party was defeated by the Democratic-Republican Party in 1800, and it became a minority party while keeping its stronghold in New England. It made a brief resurgence by opposing the War of 1812, then collapsed with its last presidential candidate in 1816. Remnants lasted for a few years afterwards.</v>
      </c>
      <c r="T16">
        <f t="shared" si="1"/>
        <v>0.32400000000000001</v>
      </c>
      <c r="U16" t="str">
        <f t="shared" si="0"/>
        <v>6th</v>
      </c>
      <c r="V16" t="b">
        <v>0</v>
      </c>
      <c r="W16" t="s">
        <v>123</v>
      </c>
      <c r="X16" t="str">
        <f t="shared" si="2"/>
        <v/>
      </c>
      <c r="Y16" t="str">
        <f t="shared" si="3"/>
        <v>Charles Cotesworth Pinckney</v>
      </c>
      <c r="Z16" t="str">
        <f t="shared" si="4"/>
        <v>https://en.wikipedia.org/wiki/1808_United_States_presidential_election</v>
      </c>
    </row>
    <row r="17" spans="1:27" x14ac:dyDescent="0.25">
      <c r="A17">
        <v>7</v>
      </c>
      <c r="B17">
        <f>VLOOKUP(D17,party!A:E,5,0)</f>
        <v>23</v>
      </c>
      <c r="C17">
        <v>1812</v>
      </c>
      <c r="D17" s="11" t="s">
        <v>11</v>
      </c>
      <c r="E17" t="s">
        <v>15</v>
      </c>
      <c r="G17" s="5">
        <v>140431</v>
      </c>
      <c r="H17" s="33">
        <v>0.504</v>
      </c>
      <c r="I17" s="47">
        <v>128</v>
      </c>
      <c r="P17" t="str">
        <f t="shared" si="5"/>
        <v>50.4%</v>
      </c>
      <c r="Q17" t="str">
        <f>IF(IFERROR(VLOOKUP($D17,party!$A:$D,2,0),"")="","",IFERROR(VLOOKUP($D17,party!$A:$D,2,0),""))</f>
        <v/>
      </c>
      <c r="R17" t="str">
        <f>IF(IFERROR(VLOOKUP($D17,party!$A:$D,3,0),"")="","",IFERROR(VLOOKUP($D17,party!$A:$D,3,0),""))</f>
        <v>https://en.wikipedia.org/wiki/Democratic-Republican_Party</v>
      </c>
      <c r="S17" t="str">
        <f>IF(IFERROR(VLOOKUP($D17,party!$A:$D,4,0),"")="","",IFERROR(VLOOKUP($D17,party!$A:$D,4,0),""))</f>
        <v>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v>
      </c>
      <c r="T17">
        <f t="shared" si="1"/>
        <v>0.504</v>
      </c>
      <c r="U17" t="str">
        <f t="shared" si="0"/>
        <v>7th</v>
      </c>
      <c r="V17" t="b">
        <v>1</v>
      </c>
      <c r="W17" t="s">
        <v>171</v>
      </c>
      <c r="X17" t="str">
        <f t="shared" si="2"/>
        <v/>
      </c>
      <c r="Y17" t="str">
        <f t="shared" si="3"/>
        <v/>
      </c>
      <c r="Z17" t="str">
        <f t="shared" si="4"/>
        <v>https://en.wikipedia.org/wiki/1812_United_States_presidential_election</v>
      </c>
    </row>
    <row r="18" spans="1:27" x14ac:dyDescent="0.25">
      <c r="A18">
        <v>7</v>
      </c>
      <c r="B18">
        <f>VLOOKUP(D18,party!A:E,5,0)</f>
        <v>22</v>
      </c>
      <c r="C18">
        <v>1812</v>
      </c>
      <c r="D18" s="9" t="s">
        <v>107</v>
      </c>
      <c r="G18" s="6">
        <v>132781</v>
      </c>
      <c r="H18" s="33">
        <v>0.47599999999999998</v>
      </c>
      <c r="I18" s="42">
        <v>89</v>
      </c>
      <c r="P18" t="str">
        <f t="shared" si="5"/>
        <v>47.6%</v>
      </c>
      <c r="Q18" t="str">
        <f>IF(IFERROR(VLOOKUP($D18,party!$A:$D,2,0),"")="","",IFERROR(VLOOKUP($D18,party!$A:$D,2,0),""))</f>
        <v>Not a party.</v>
      </c>
      <c r="R18" t="str">
        <f>IF(IFERROR(VLOOKUP($D18,party!$A:$D,3,0),"")="","",IFERROR(VLOOKUP($D18,party!$A:$D,3,0),""))</f>
        <v>https://en.wikipedia.org/wiki/1812_United_States_presidential_election</v>
      </c>
      <c r="S18" t="str">
        <f>IF(IFERROR(VLOOKUP($D18,party!$A:$D,4,0),"")="","",IFERROR(VLOOKUP($D18,party!$A:$D,4,0),""))</f>
        <v>While commonly labeled as the Federalist candidate, Clinton technically ran as a Democratic-Republican and was not nominated by the Federalist party itself, the latter simply deciding not to field a candidate. This did not prevent endorsements from state Federalist parties (such as in Pennsylvania), but he received the endorsement from the New York state Democratic-Republicans as well.</v>
      </c>
      <c r="T18">
        <f t="shared" si="1"/>
        <v>0.47599999999999998</v>
      </c>
      <c r="U18" t="str">
        <f t="shared" si="0"/>
        <v>7th</v>
      </c>
      <c r="V18" t="b">
        <v>0</v>
      </c>
      <c r="W18" t="s">
        <v>124</v>
      </c>
      <c r="X18" t="str">
        <f t="shared" si="2"/>
        <v/>
      </c>
      <c r="Y18" t="str">
        <f t="shared" si="3"/>
        <v>DeWitt Clinton</v>
      </c>
      <c r="Z18" t="str">
        <f t="shared" si="4"/>
        <v>https://en.wikipedia.org/wiki/1812_United_States_presidential_election</v>
      </c>
    </row>
    <row r="19" spans="1:27" x14ac:dyDescent="0.25">
      <c r="A19">
        <v>8</v>
      </c>
      <c r="B19">
        <f>VLOOKUP(D19,party!A:E,5,0)</f>
        <v>23</v>
      </c>
      <c r="C19">
        <v>1816</v>
      </c>
      <c r="D19" s="11" t="s">
        <v>11</v>
      </c>
      <c r="E19" t="s">
        <v>16</v>
      </c>
      <c r="G19" s="5">
        <v>76592</v>
      </c>
      <c r="H19" s="33">
        <v>0.68200000000000005</v>
      </c>
      <c r="I19" s="42">
        <v>183</v>
      </c>
      <c r="P19" t="str">
        <f t="shared" si="5"/>
        <v>68.2%</v>
      </c>
      <c r="Q19" t="str">
        <f>IF(IFERROR(VLOOKUP($D19,party!$A:$D,2,0),"")="","",IFERROR(VLOOKUP($D19,party!$A:$D,2,0),""))</f>
        <v/>
      </c>
      <c r="R19" t="str">
        <f>IF(IFERROR(VLOOKUP($D19,party!$A:$D,3,0),"")="","",IFERROR(VLOOKUP($D19,party!$A:$D,3,0),""))</f>
        <v>https://en.wikipedia.org/wiki/Democratic-Republican_Party</v>
      </c>
      <c r="S19" t="str">
        <f>IF(IFERROR(VLOOKUP($D19,party!$A:$D,4,0),"")="","",IFERROR(VLOOKUP($D19,party!$A:$D,4,0),""))</f>
        <v>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v>
      </c>
      <c r="T19">
        <f t="shared" si="1"/>
        <v>0.68200000000000005</v>
      </c>
      <c r="U19" t="str">
        <f t="shared" si="0"/>
        <v>8th</v>
      </c>
      <c r="V19" t="b">
        <v>1</v>
      </c>
      <c r="W19" t="s">
        <v>171</v>
      </c>
      <c r="X19" t="str">
        <f t="shared" si="2"/>
        <v/>
      </c>
      <c r="Y19" t="str">
        <f t="shared" si="3"/>
        <v/>
      </c>
      <c r="Z19" t="str">
        <f t="shared" si="4"/>
        <v>https://en.wikipedia.org/wiki/1816_United_States_presidential_election</v>
      </c>
    </row>
    <row r="20" spans="1:27" x14ac:dyDescent="0.25">
      <c r="A20">
        <v>8</v>
      </c>
      <c r="B20">
        <f>VLOOKUP(D20,party!A:E,5,0)</f>
        <v>10</v>
      </c>
      <c r="C20">
        <v>1816</v>
      </c>
      <c r="D20" s="9" t="s">
        <v>4</v>
      </c>
      <c r="G20" s="6">
        <v>34740</v>
      </c>
      <c r="H20" s="33">
        <v>0.309</v>
      </c>
      <c r="I20" s="42">
        <v>34</v>
      </c>
      <c r="P20" t="str">
        <f t="shared" si="5"/>
        <v>30.9%</v>
      </c>
      <c r="Q20" t="str">
        <f>IF(IFERROR(VLOOKUP($D20,party!$A:$D,2,0),"")="","",IFERROR(VLOOKUP($D20,party!$A:$D,2,0),""))</f>
        <v/>
      </c>
      <c r="R20" t="str">
        <f>IF(IFERROR(VLOOKUP($D20,party!$A:$D,3,0),"")="","",IFERROR(VLOOKUP($D20,party!$A:$D,3,0),""))</f>
        <v>https://en.wikipedia.org/wiki/Federalist_Party</v>
      </c>
      <c r="S20" t="str">
        <f>IF(IFERROR(VLOOKUP($D20,party!$A:$D,4,0),"")="","",IFERROR(VLOOKUP($D20,party!$A:$D,4,0),""))</f>
        <v>The Federalist Party was a conservative and nationalist American political party and the first political party in the United States. It dominated the national government under Alexander Hamilton from 1789 to 1801. The party was defeated by the Democratic-Republican Party in 1800, and it became a minority party while keeping its stronghold in New England. It made a brief resurgence by opposing the War of 1812, then collapsed with its last presidential candidate in 1816. Remnants lasted for a few years afterwards.</v>
      </c>
      <c r="T20">
        <f t="shared" si="1"/>
        <v>0.309</v>
      </c>
      <c r="U20" t="str">
        <f t="shared" si="0"/>
        <v>8th</v>
      </c>
      <c r="V20" t="b">
        <v>0</v>
      </c>
      <c r="W20" t="s">
        <v>125</v>
      </c>
      <c r="X20" t="str">
        <f t="shared" si="2"/>
        <v/>
      </c>
      <c r="Y20" t="str">
        <f t="shared" si="3"/>
        <v>Rufus King</v>
      </c>
      <c r="Z20" t="str">
        <f t="shared" si="4"/>
        <v>https://en.wikipedia.org/wiki/1816_United_States_presidential_election</v>
      </c>
    </row>
    <row r="21" spans="1:27" x14ac:dyDescent="0.25">
      <c r="A21">
        <v>9</v>
      </c>
      <c r="B21">
        <f>VLOOKUP(D21,party!A:E,5,0)</f>
        <v>23</v>
      </c>
      <c r="C21">
        <v>1820</v>
      </c>
      <c r="D21" s="11" t="s">
        <v>11</v>
      </c>
      <c r="E21" t="s">
        <v>16</v>
      </c>
      <c r="G21" s="6">
        <v>87343</v>
      </c>
      <c r="H21" s="33">
        <v>0.80600000000000005</v>
      </c>
      <c r="I21" s="42">
        <v>232</v>
      </c>
      <c r="P21" t="str">
        <f t="shared" si="5"/>
        <v>80.6%</v>
      </c>
      <c r="Q21" t="str">
        <f>IF(IFERROR(VLOOKUP($D21,party!$A:$D,2,0),"")="","",IFERROR(VLOOKUP($D21,party!$A:$D,2,0),""))</f>
        <v/>
      </c>
      <c r="R21" t="str">
        <f>IF(IFERROR(VLOOKUP($D21,party!$A:$D,3,0),"")="","",IFERROR(VLOOKUP($D21,party!$A:$D,3,0),""))</f>
        <v>https://en.wikipedia.org/wiki/Democratic-Republican_Party</v>
      </c>
      <c r="S21" t="str">
        <f>IF(IFERROR(VLOOKUP($D21,party!$A:$D,4,0),"")="","",IFERROR(VLOOKUP($D21,party!$A:$D,4,0),""))</f>
        <v>The Republican Party, known retroactively as the Democratic-Republican Party (also referred to by historians as the Jeffersonian Republican Party), was an American political party founded by Thomas Jefferson and James Madison in the early 1790s. It championed liberalism, republicanism, individual liberty, equal rights, decentralization, free markets, free trade, and agrarianism. In foreign policy it was hostile to Great Britain and in sympathy with the French Revolution. The party became increasingly dominant after the 1800 elections as the opposing Federalist Party collapsed.</v>
      </c>
      <c r="T21">
        <f t="shared" si="1"/>
        <v>0.80600000000000005</v>
      </c>
      <c r="U21" t="str">
        <f t="shared" si="0"/>
        <v>9th</v>
      </c>
      <c r="V21" t="b">
        <v>1</v>
      </c>
      <c r="W21" t="s">
        <v>126</v>
      </c>
      <c r="X21" t="str">
        <f t="shared" si="2"/>
        <v>John Quincy Adams</v>
      </c>
      <c r="Y21" t="str">
        <f t="shared" si="3"/>
        <v/>
      </c>
      <c r="Z21" t="str">
        <f t="shared" si="4"/>
        <v>https://en.wikipedia.org/wiki/1820_United_States_presidential_election</v>
      </c>
    </row>
    <row r="22" spans="1:27" x14ac:dyDescent="0.25">
      <c r="A22">
        <v>10</v>
      </c>
      <c r="B22">
        <f>VLOOKUP(D22,party!A:E,5,0)</f>
        <v>12</v>
      </c>
      <c r="C22">
        <v>1824</v>
      </c>
      <c r="D22" s="11" t="s">
        <v>17</v>
      </c>
      <c r="E22" s="13" t="s">
        <v>126</v>
      </c>
      <c r="G22" s="6">
        <v>113122</v>
      </c>
      <c r="H22" s="33">
        <v>0.309</v>
      </c>
      <c r="I22" s="42">
        <v>84</v>
      </c>
      <c r="P22" t="str">
        <f t="shared" si="5"/>
        <v>30.9%</v>
      </c>
      <c r="Q22" t="str">
        <f>IF(IFERROR(VLOOKUP($D22,party!$A:$D,2,0),"")="","",IFERROR(VLOOKUP($D22,party!$A:$D,2,0),""))</f>
        <v>Not a party.</v>
      </c>
      <c r="R22" t="str">
        <f>IF(IFERROR(VLOOKUP($D22,party!$A:$D,3,0),"")="","",IFERROR(VLOOKUP($D22,party!$A:$D,3,0),""))</f>
        <v>https://en.wikipedia.org/wiki/1824_United_States_presidential_election</v>
      </c>
      <c r="S22" t="str">
        <f>IF(IFERROR(VLOOKUP($D22,party!$A:$D,4,0),"")="","",IFERROR(VLOOKUP($D22,party!$A:$D,4,0),""))</f>
        <v>The Democratic-Republican Party had won six consecutive presidential elections and by 1824 was the only national political party. However, as the election approached, the presence of multiple viable candidates resulted in there being multiple nominations by the contending factions, signaling the splintering of the party and an end to the Era of Good Feelings, as well as the First Party System.
Adams won New England, Jackson and Adams split the mid-Atlantic states, Jackson and Clay split the Western states, and Jackson and Crawford split the Southern states.</v>
      </c>
      <c r="T22">
        <f t="shared" si="1"/>
        <v>0.309</v>
      </c>
      <c r="U22" t="str">
        <f t="shared" si="0"/>
        <v>10th</v>
      </c>
      <c r="V22" t="b">
        <v>1</v>
      </c>
      <c r="W22" t="s">
        <v>171</v>
      </c>
      <c r="X22" t="str">
        <f t="shared" si="2"/>
        <v/>
      </c>
      <c r="Y22" t="str">
        <f t="shared" si="3"/>
        <v/>
      </c>
      <c r="Z22" t="str">
        <f t="shared" si="4"/>
        <v>https://en.wikipedia.org/wiki/1824_United_States_presidential_election</v>
      </c>
      <c r="AA22" s="39" t="s">
        <v>260</v>
      </c>
    </row>
    <row r="23" spans="1:27" x14ac:dyDescent="0.25">
      <c r="A23">
        <v>10</v>
      </c>
      <c r="B23">
        <f>VLOOKUP(D23,party!A:E,5,0)</f>
        <v>25</v>
      </c>
      <c r="C23">
        <v>1824</v>
      </c>
      <c r="D23" s="12" t="s">
        <v>18</v>
      </c>
      <c r="G23" s="5">
        <v>151271</v>
      </c>
      <c r="H23" s="33">
        <v>0.41399999999999998</v>
      </c>
      <c r="I23" s="42">
        <v>99</v>
      </c>
      <c r="P23" t="str">
        <f t="shared" si="5"/>
        <v>41.4%</v>
      </c>
      <c r="Q23" t="str">
        <f>IF(IFERROR(VLOOKUP($D23,party!$A:$D,2,0),"")="","",IFERROR(VLOOKUP($D23,party!$A:$D,2,0),""))</f>
        <v>Not a party.</v>
      </c>
      <c r="R23" t="str">
        <f>IF(IFERROR(VLOOKUP($D23,party!$A:$D,3,0),"")="","",IFERROR(VLOOKUP($D23,party!$A:$D,3,0),""))</f>
        <v>https://en.wikipedia.org/wiki/1824_United_States_presidential_election</v>
      </c>
      <c r="S23" t="str">
        <f>IF(IFERROR(VLOOKUP($D23,party!$A:$D,4,0),"")="","",IFERROR(VLOOKUP($D23,party!$A:$D,4,0),""))</f>
        <v>The Democratic-Republican Party had won six consecutive presidential elections and by 1824 was the only national political party. However, as the election approached, the presence of multiple viable candidates resulted in there being multiple nominations by the contending factions, signaling the splintering of the party and an end to the Era of Good Feelings, as well as the First Party System.
Adams won New England, Jackson and Adams split the mid-Atlantic states, Jackson and Clay split the Western states, and Jackson and Crawford split the Southern states.</v>
      </c>
      <c r="T23">
        <f t="shared" si="1"/>
        <v>0.41399999999999998</v>
      </c>
      <c r="U23" t="str">
        <f t="shared" si="0"/>
        <v>10th</v>
      </c>
      <c r="V23" t="b">
        <v>0</v>
      </c>
      <c r="W23" t="s">
        <v>23</v>
      </c>
      <c r="X23" t="str">
        <f t="shared" si="2"/>
        <v/>
      </c>
      <c r="Y23" t="str">
        <f t="shared" si="3"/>
        <v>Andrew Jackson</v>
      </c>
      <c r="Z23" t="str">
        <f t="shared" si="4"/>
        <v>https://en.wikipedia.org/wiki/1824_United_States_presidential_election</v>
      </c>
      <c r="AA23" s="39" t="s">
        <v>260</v>
      </c>
    </row>
    <row r="24" spans="1:27" x14ac:dyDescent="0.25">
      <c r="A24">
        <v>10</v>
      </c>
      <c r="B24">
        <f>VLOOKUP(D24,party!A:E,5,0)</f>
        <v>24</v>
      </c>
      <c r="C24">
        <v>1824</v>
      </c>
      <c r="D24" s="13" t="s">
        <v>19</v>
      </c>
      <c r="G24" s="6">
        <v>40856</v>
      </c>
      <c r="H24" s="33">
        <v>0.112</v>
      </c>
      <c r="I24" s="42">
        <v>40</v>
      </c>
      <c r="P24" t="str">
        <f t="shared" si="5"/>
        <v>11.2%</v>
      </c>
      <c r="Q24" t="str">
        <f>IF(IFERROR(VLOOKUP($D24,party!$A:$D,2,0),"")="","",IFERROR(VLOOKUP($D24,party!$A:$D,2,0),""))</f>
        <v>Not a party.</v>
      </c>
      <c r="R24" t="str">
        <f>IF(IFERROR(VLOOKUP($D24,party!$A:$D,3,0),"")="","",IFERROR(VLOOKUP($D24,party!$A:$D,3,0),""))</f>
        <v>https://en.wikipedia.org/wiki/1824_United_States_presidential_election</v>
      </c>
      <c r="S24" t="str">
        <f>IF(IFERROR(VLOOKUP($D24,party!$A:$D,4,0),"")="","",IFERROR(VLOOKUP($D24,party!$A:$D,4,0),""))</f>
        <v>The Democratic-Republican Party had won six consecutive presidential elections and by 1824 was the only national political party. However, as the election approached, the presence of multiple viable candidates resulted in there being multiple nominations by the contending factions, signaling the splintering of the party and an end to the Era of Good Feelings, as well as the First Party System.
Adams won New England, Jackson and Adams split the mid-Atlantic states, Jackson and Clay split the Western states, and Jackson and Crawford split the Southern states.</v>
      </c>
      <c r="T24">
        <f t="shared" si="1"/>
        <v>0.112</v>
      </c>
      <c r="U24" t="str">
        <f t="shared" si="0"/>
        <v>10th</v>
      </c>
      <c r="V24" t="b">
        <v>0</v>
      </c>
      <c r="W24" t="s">
        <v>127</v>
      </c>
      <c r="X24" t="str">
        <f t="shared" si="2"/>
        <v/>
      </c>
      <c r="Y24" t="str">
        <f t="shared" si="3"/>
        <v>William H. Crawford</v>
      </c>
      <c r="Z24" t="str">
        <f t="shared" si="4"/>
        <v>https://en.wikipedia.org/wiki/1824_United_States_presidential_election</v>
      </c>
      <c r="AA24" s="39" t="s">
        <v>260</v>
      </c>
    </row>
    <row r="25" spans="1:27" x14ac:dyDescent="0.25">
      <c r="A25">
        <v>10</v>
      </c>
      <c r="B25">
        <f>VLOOKUP(D25,party!A:E,5,0)</f>
        <v>11</v>
      </c>
      <c r="C25">
        <v>1824</v>
      </c>
      <c r="D25" s="8" t="s">
        <v>20</v>
      </c>
      <c r="G25" s="6">
        <v>47531</v>
      </c>
      <c r="H25" s="33">
        <v>0.13</v>
      </c>
      <c r="I25" s="42">
        <v>38</v>
      </c>
      <c r="P25" t="str">
        <f t="shared" si="5"/>
        <v>13.0%</v>
      </c>
      <c r="Q25" t="str">
        <f>IF(IFERROR(VLOOKUP($D25,party!$A:$D,2,0),"")="","",IFERROR(VLOOKUP($D25,party!$A:$D,2,0),""))</f>
        <v>Not a party.</v>
      </c>
      <c r="R25" t="str">
        <f>IF(IFERROR(VLOOKUP($D25,party!$A:$D,3,0),"")="","",IFERROR(VLOOKUP($D25,party!$A:$D,3,0),""))</f>
        <v>https://en.wikipedia.org/wiki/1824_United_States_presidential_election</v>
      </c>
      <c r="S25" t="str">
        <f>IF(IFERROR(VLOOKUP($D25,party!$A:$D,4,0),"")="","",IFERROR(VLOOKUP($D25,party!$A:$D,4,0),""))</f>
        <v>The Democratic-Republican Party had won six consecutive presidential elections and by 1824 was the only national political party. However, as the election approached, the presence of multiple viable candidates resulted in there being multiple nominations by the contending factions, signaling the splintering of the party and an end to the Era of Good Feelings, as well as the First Party System.
Adams won New England, Jackson and Adams split the mid-Atlantic states, Jackson and Clay split the Western states, and Jackson and Crawford split the Southern states.</v>
      </c>
      <c r="T25">
        <f t="shared" si="1"/>
        <v>0.13</v>
      </c>
      <c r="U25" t="str">
        <f t="shared" si="0"/>
        <v>10th</v>
      </c>
      <c r="V25" t="b">
        <v>0</v>
      </c>
      <c r="W25" t="s">
        <v>128</v>
      </c>
      <c r="X25" t="str">
        <f t="shared" si="2"/>
        <v/>
      </c>
      <c r="Y25" t="str">
        <f t="shared" si="3"/>
        <v>Henry Clay</v>
      </c>
      <c r="Z25" t="str">
        <f t="shared" si="4"/>
        <v>https://en.wikipedia.org/wiki/1824_United_States_presidential_election</v>
      </c>
      <c r="AA25" s="39" t="s">
        <v>260</v>
      </c>
    </row>
    <row r="26" spans="1:27" x14ac:dyDescent="0.25">
      <c r="A26">
        <v>11</v>
      </c>
      <c r="B26">
        <f>VLOOKUP(D26,party!A:E,5,0)</f>
        <v>26</v>
      </c>
      <c r="C26">
        <v>1828</v>
      </c>
      <c r="D26" s="14" t="s">
        <v>21</v>
      </c>
      <c r="E26" t="s">
        <v>23</v>
      </c>
      <c r="G26" s="6">
        <v>642553</v>
      </c>
      <c r="H26" s="33">
        <v>0.56000000000000005</v>
      </c>
      <c r="I26" s="42">
        <v>178</v>
      </c>
      <c r="P26" t="str">
        <f t="shared" si="5"/>
        <v>56.0%</v>
      </c>
      <c r="Q26" t="str">
        <f>IF(IFERROR(VLOOKUP($D26,party!$A:$D,2,0),"")="","",IFERROR(VLOOKUP($D26,party!$A:$D,2,0),""))</f>
        <v/>
      </c>
      <c r="R26" t="str">
        <f>IF(IFERROR(VLOOKUP($D26,party!$A:$D,3,0),"")="","",IFERROR(VLOOKUP($D26,party!$A:$D,3,0),""))</f>
        <v>https://en.wikipedia.org/wiki/Democratic_Party_(United_States)</v>
      </c>
      <c r="S26" t="str">
        <f>IF(IFERROR(VLOOKUP($D26,party!$A:$D,4,0),"")="","",IFERROR(VLOOKUP($D26,party!$A:$D,4,0),""))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26">
        <f t="shared" si="1"/>
        <v>0.56000000000000005</v>
      </c>
      <c r="U26" t="str">
        <f t="shared" si="0"/>
        <v>11th</v>
      </c>
      <c r="V26" t="b">
        <v>1</v>
      </c>
      <c r="W26" t="s">
        <v>171</v>
      </c>
      <c r="X26" t="str">
        <f t="shared" si="2"/>
        <v/>
      </c>
      <c r="Y26" t="str">
        <f t="shared" si="3"/>
        <v/>
      </c>
      <c r="Z26" t="str">
        <f t="shared" si="4"/>
        <v>https://en.wikipedia.org/wiki/1828_United_States_presidential_election</v>
      </c>
    </row>
    <row r="27" spans="1:27" x14ac:dyDescent="0.25">
      <c r="A27">
        <v>11</v>
      </c>
      <c r="B27">
        <f>VLOOKUP(D27,party!A:E,5,0)</f>
        <v>13</v>
      </c>
      <c r="C27">
        <v>1828</v>
      </c>
      <c r="D27" s="15" t="s">
        <v>22</v>
      </c>
      <c r="G27" s="5">
        <v>500897</v>
      </c>
      <c r="H27" s="33">
        <v>0.436</v>
      </c>
      <c r="I27" s="42">
        <v>83</v>
      </c>
      <c r="P27" t="str">
        <f t="shared" si="5"/>
        <v>43.6%</v>
      </c>
      <c r="Q27" t="str">
        <f>IF(IFERROR(VLOOKUP($D27,party!$A:$D,2,0),"")="","",IFERROR(VLOOKUP($D27,party!$A:$D,2,0),""))</f>
        <v/>
      </c>
      <c r="R27" t="str">
        <f>IF(IFERROR(VLOOKUP($D27,party!$A:$D,3,0),"")="","",IFERROR(VLOOKUP($D27,party!$A:$D,3,0),""))</f>
        <v>https://en.wikipedia.org/wiki/National_Republican_Party</v>
      </c>
      <c r="S27" t="str">
        <f>IF(IFERROR(VLOOKUP($D27,party!$A:$D,4,0),"")="","",IFERROR(VLOOKUP($D27,party!$A:$D,4,0),""))</f>
        <v>The National Republican Party, also known as the Anti-Jacksonian Party or simply Republicans, was a political party in the United States which evolved from a conservative-leaning faction of the Democratic-Republican Party that supported John Quincy Adams in the 1824 presidential election.
After the 1832 election, opponents of Jackson coalesced into the Whig Party. National Republicans, Anti-Masons and others joined the new party.</v>
      </c>
      <c r="T27">
        <f t="shared" si="1"/>
        <v>0.436</v>
      </c>
      <c r="U27" t="str">
        <f t="shared" si="0"/>
        <v>11th</v>
      </c>
      <c r="V27" t="b">
        <v>0</v>
      </c>
      <c r="W27" t="s">
        <v>126</v>
      </c>
      <c r="X27" t="str">
        <f t="shared" si="2"/>
        <v/>
      </c>
      <c r="Y27" t="str">
        <f t="shared" si="3"/>
        <v>John Quincy Adams</v>
      </c>
      <c r="Z27" t="str">
        <f t="shared" si="4"/>
        <v>https://en.wikipedia.org/wiki/1828_United_States_presidential_election</v>
      </c>
    </row>
    <row r="28" spans="1:27" x14ac:dyDescent="0.25">
      <c r="A28">
        <v>12</v>
      </c>
      <c r="B28">
        <f>VLOOKUP(D28,party!A:E,5,0)</f>
        <v>26</v>
      </c>
      <c r="C28">
        <v>1832</v>
      </c>
      <c r="D28" s="14" t="s">
        <v>21</v>
      </c>
      <c r="E28" t="s">
        <v>23</v>
      </c>
      <c r="G28" s="6">
        <v>701780</v>
      </c>
      <c r="H28" s="33">
        <v>0.54200000000000004</v>
      </c>
      <c r="I28" s="42">
        <v>219</v>
      </c>
      <c r="P28" t="str">
        <f t="shared" si="5"/>
        <v>54.2%</v>
      </c>
      <c r="Q28" t="str">
        <f>IF(IFERROR(VLOOKUP($D28,party!$A:$D,2,0),"")="","",IFERROR(VLOOKUP($D28,party!$A:$D,2,0),""))</f>
        <v/>
      </c>
      <c r="R28" t="str">
        <f>IF(IFERROR(VLOOKUP($D28,party!$A:$D,3,0),"")="","",IFERROR(VLOOKUP($D28,party!$A:$D,3,0),""))</f>
        <v>https://en.wikipedia.org/wiki/Democratic_Party_(United_States)</v>
      </c>
      <c r="S28" t="str">
        <f>IF(IFERROR(VLOOKUP($D28,party!$A:$D,4,0),"")="","",IFERROR(VLOOKUP($D28,party!$A:$D,4,0),""))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28">
        <f t="shared" si="1"/>
        <v>0.54200000000000004</v>
      </c>
      <c r="U28" t="str">
        <f t="shared" si="0"/>
        <v>12th</v>
      </c>
      <c r="V28" t="b">
        <v>1</v>
      </c>
      <c r="W28" t="s">
        <v>171</v>
      </c>
      <c r="X28" t="str">
        <f t="shared" si="2"/>
        <v/>
      </c>
      <c r="Y28" t="str">
        <f t="shared" si="3"/>
        <v/>
      </c>
      <c r="Z28" t="str">
        <f t="shared" si="4"/>
        <v>https://en.wikipedia.org/wiki/1832_United_States_presidential_election</v>
      </c>
    </row>
    <row r="29" spans="1:27" x14ac:dyDescent="0.25">
      <c r="A29">
        <v>12</v>
      </c>
      <c r="B29">
        <f>VLOOKUP(D29,party!A:E,5,0)</f>
        <v>13</v>
      </c>
      <c r="C29">
        <v>1832</v>
      </c>
      <c r="D29" s="15" t="s">
        <v>22</v>
      </c>
      <c r="G29" s="5">
        <v>484205</v>
      </c>
      <c r="H29" s="33">
        <v>0.374</v>
      </c>
      <c r="I29" s="42">
        <v>49</v>
      </c>
      <c r="P29" t="str">
        <f t="shared" si="5"/>
        <v>37.4%</v>
      </c>
      <c r="Q29" t="str">
        <f>IF(IFERROR(VLOOKUP($D29,party!$A:$D,2,0),"")="","",IFERROR(VLOOKUP($D29,party!$A:$D,2,0),""))</f>
        <v/>
      </c>
      <c r="R29" t="str">
        <f>IF(IFERROR(VLOOKUP($D29,party!$A:$D,3,0),"")="","",IFERROR(VLOOKUP($D29,party!$A:$D,3,0),""))</f>
        <v>https://en.wikipedia.org/wiki/National_Republican_Party</v>
      </c>
      <c r="S29" t="str">
        <f>IF(IFERROR(VLOOKUP($D29,party!$A:$D,4,0),"")="","",IFERROR(VLOOKUP($D29,party!$A:$D,4,0),""))</f>
        <v>The National Republican Party, also known as the Anti-Jacksonian Party or simply Republicans, was a political party in the United States which evolved from a conservative-leaning faction of the Democratic-Republican Party that supported John Quincy Adams in the 1824 presidential election.
After the 1832 election, opponents of Jackson coalesced into the Whig Party. National Republicans, Anti-Masons and others joined the new party.</v>
      </c>
      <c r="T29">
        <f t="shared" si="1"/>
        <v>0.374</v>
      </c>
      <c r="U29" t="str">
        <f t="shared" si="0"/>
        <v>12th</v>
      </c>
      <c r="V29" t="b">
        <v>0</v>
      </c>
      <c r="W29" t="s">
        <v>128</v>
      </c>
      <c r="X29" t="str">
        <f t="shared" si="2"/>
        <v/>
      </c>
      <c r="Y29" t="str">
        <f t="shared" si="3"/>
        <v>Henry Clay</v>
      </c>
      <c r="Z29" t="str">
        <f t="shared" si="4"/>
        <v>https://en.wikipedia.org/wiki/1832_United_States_presidential_election</v>
      </c>
    </row>
    <row r="30" spans="1:27" x14ac:dyDescent="0.25">
      <c r="A30">
        <v>12</v>
      </c>
      <c r="B30">
        <f>VLOOKUP(D30,party!A:E,5,0)</f>
        <v>2</v>
      </c>
      <c r="C30">
        <v>1832</v>
      </c>
      <c r="D30" s="16" t="s">
        <v>24</v>
      </c>
      <c r="G30" s="3">
        <v>0</v>
      </c>
      <c r="H30" s="34"/>
      <c r="I30" s="42">
        <v>11</v>
      </c>
      <c r="P30" s="8" t="s">
        <v>263</v>
      </c>
      <c r="Q30" t="str">
        <f>IF(IFERROR(VLOOKUP($D30,party!$A:$D,2,0),"")="","",IFERROR(VLOOKUP($D30,party!$A:$D,2,0),""))</f>
        <v/>
      </c>
      <c r="R30" t="str">
        <f>IF(IFERROR(VLOOKUP($D30,party!$A:$D,3,0),"")="","",IFERROR(VLOOKUP($D30,party!$A:$D,3,0),""))</f>
        <v>https://en.wikipedia.org/wiki/Nullifier_Party</v>
      </c>
      <c r="S30" t="str">
        <f>IF(IFERROR(VLOOKUP($D30,party!$A:$D,4,0),"")="","",IFERROR(VLOOKUP($D30,party!$A:$D,4,0),""))</f>
        <v>The Nullifier Party was an American political party based in South Carolina in the 1830s. Considered an early American third party, it was started by John C. Calhoun in 1828.
The Nullifier Party was a states' rights, pro-slavery party that supported strict constructionism with regards to the U.S. government's enumerated powers, holding that states could nullify federal laws within their borders. It narrowly missed claiming the unofficial title of being the first ever third party to be created within the United States—that title belongs to the Anti-Masonic Party, which was created in New York in February 1828.</v>
      </c>
      <c r="T30" t="str">
        <f t="shared" si="1"/>
        <v/>
      </c>
      <c r="U30" t="str">
        <f t="shared" si="0"/>
        <v>12th</v>
      </c>
      <c r="V30" t="b">
        <v>0</v>
      </c>
      <c r="W30" t="s">
        <v>129</v>
      </c>
      <c r="X30" t="str">
        <f t="shared" si="2"/>
        <v/>
      </c>
      <c r="Y30" t="str">
        <f t="shared" si="3"/>
        <v>John Floyd</v>
      </c>
      <c r="Z30" t="str">
        <f t="shared" si="4"/>
        <v>https://en.wikipedia.org/wiki/1832_United_States_presidential_election</v>
      </c>
      <c r="AA30" s="39" t="s">
        <v>265</v>
      </c>
    </row>
    <row r="31" spans="1:27" x14ac:dyDescent="0.25">
      <c r="A31">
        <v>12</v>
      </c>
      <c r="B31">
        <f>VLOOKUP(D31,party!A:E,5,0)</f>
        <v>14</v>
      </c>
      <c r="C31">
        <v>1832</v>
      </c>
      <c r="D31" s="17" t="s">
        <v>25</v>
      </c>
      <c r="G31" s="5">
        <v>100715</v>
      </c>
      <c r="H31" s="33">
        <v>7.8E-2</v>
      </c>
      <c r="I31" s="42">
        <v>7</v>
      </c>
      <c r="P31" t="str">
        <f t="shared" si="5"/>
        <v>7.8%</v>
      </c>
      <c r="Q31" t="str">
        <f>IF(IFERROR(VLOOKUP($D31,party!$A:$D,2,0),"")="","",IFERROR(VLOOKUP($D31,party!$A:$D,2,0),""))</f>
        <v/>
      </c>
      <c r="R31" t="str">
        <f>IF(IFERROR(VLOOKUP($D31,party!$A:$D,3,0),"")="","",IFERROR(VLOOKUP($D31,party!$A:$D,3,0),""))</f>
        <v>https://en.wikipedia.org/wiki/Anti-Masonic_Party</v>
      </c>
      <c r="S31" t="str">
        <f>IF(IFERROR(VLOOKUP($D31,party!$A:$D,4,0),"")="","",IFERROR(VLOOKUP($D31,party!$A:$D,4,0),""))</f>
        <v>The Anti-Masonic Party was the earliest third party in the United States. Formally a single-issue party, it strongly opposed Freemasonry in the United States. It was active from the late 1820s, especially in the Northeast, and later attempted to become a major party by expanding its platform to take positions on other issues. It declined quickly after 1832 as most members joined the new Whig Party; it disappeared after 1838.</v>
      </c>
      <c r="T31">
        <f t="shared" si="1"/>
        <v>7.8E-2</v>
      </c>
      <c r="U31" t="str">
        <f t="shared" si="0"/>
        <v>12th</v>
      </c>
      <c r="V31" t="b">
        <v>0</v>
      </c>
      <c r="W31" t="s">
        <v>130</v>
      </c>
      <c r="X31" t="str">
        <f t="shared" si="2"/>
        <v/>
      </c>
      <c r="Y31" t="str">
        <f t="shared" si="3"/>
        <v>William Wirt</v>
      </c>
      <c r="Z31" t="str">
        <f t="shared" si="4"/>
        <v>https://en.wikipedia.org/wiki/1832_United_States_presidential_election</v>
      </c>
    </row>
    <row r="32" spans="1:27" x14ac:dyDescent="0.25">
      <c r="A32">
        <v>13</v>
      </c>
      <c r="B32">
        <f>VLOOKUP(D32,party!A:E,5,0)</f>
        <v>26</v>
      </c>
      <c r="C32">
        <v>1836</v>
      </c>
      <c r="D32" s="14" t="s">
        <v>21</v>
      </c>
      <c r="E32" t="s">
        <v>27</v>
      </c>
      <c r="G32" s="6">
        <v>763291</v>
      </c>
      <c r="H32" s="33">
        <v>0.50800000000000001</v>
      </c>
      <c r="I32" s="47">
        <v>170</v>
      </c>
      <c r="P32" t="str">
        <f t="shared" si="5"/>
        <v>50.8%</v>
      </c>
      <c r="Q32" t="str">
        <f>IF(IFERROR(VLOOKUP($D32,party!$A:$D,2,0),"")="","",IFERROR(VLOOKUP($D32,party!$A:$D,2,0),""))</f>
        <v/>
      </c>
      <c r="R32" t="str">
        <f>IF(IFERROR(VLOOKUP($D32,party!$A:$D,3,0),"")="","",IFERROR(VLOOKUP($D32,party!$A:$D,3,0),""))</f>
        <v>https://en.wikipedia.org/wiki/Democratic_Party_(United_States)</v>
      </c>
      <c r="S32" t="str">
        <f>IF(IFERROR(VLOOKUP($D32,party!$A:$D,4,0),"")="","",IFERROR(VLOOKUP($D32,party!$A:$D,4,0),""))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32">
        <f t="shared" si="1"/>
        <v>0.50800000000000001</v>
      </c>
      <c r="U32" t="str">
        <f t="shared" si="0"/>
        <v>13th</v>
      </c>
      <c r="V32" t="b">
        <v>1</v>
      </c>
      <c r="W32" t="s">
        <v>171</v>
      </c>
      <c r="X32" t="str">
        <f t="shared" si="2"/>
        <v/>
      </c>
      <c r="Y32" t="str">
        <f t="shared" si="3"/>
        <v/>
      </c>
      <c r="Z32" t="str">
        <f t="shared" si="4"/>
        <v>https://en.wikipedia.org/wiki/1836_United_States_presidential_election</v>
      </c>
    </row>
    <row r="33" spans="1:26" x14ac:dyDescent="0.25">
      <c r="A33">
        <v>13</v>
      </c>
      <c r="B33">
        <f>VLOOKUP(D33,party!A:E,5,0)</f>
        <v>15</v>
      </c>
      <c r="C33">
        <v>1836</v>
      </c>
      <c r="D33" s="18" t="s">
        <v>26</v>
      </c>
      <c r="G33" s="2">
        <v>737215</v>
      </c>
      <c r="H33" s="33">
        <v>0.49</v>
      </c>
      <c r="I33" s="42">
        <v>124</v>
      </c>
      <c r="P33" t="str">
        <f t="shared" si="5"/>
        <v>49.0%</v>
      </c>
      <c r="Q33" t="str">
        <f>IF(IFERROR(VLOOKUP($D33,party!$A:$D,2,0),"")="","",IFERROR(VLOOKUP($D33,party!$A:$D,2,0),""))</f>
        <v/>
      </c>
      <c r="R33" t="str">
        <f>IF(IFERROR(VLOOKUP($D33,party!$A:$D,3,0),"")="","",IFERROR(VLOOKUP($D33,party!$A:$D,3,0),""))</f>
        <v>https://en.wikipedia.org/wiki/Whig_Party_(United_States)</v>
      </c>
      <c r="S33" t="str">
        <f>IF(IFERROR(VLOOKUP($D33,party!$A:$D,4,0),"")="","",IFERROR(VLOOKUP($D33,party!$A:$D,4,0),""))</f>
        <v>The Whig Party was a mid-19th century political party in the United States. Alongside the Democratic Party, it was one of two major parties between the late 1830s and the early 1850s and part of the Second Party System.
The Whigs emerged in the 1830s in opposition to President Andrew Jackson, pulling together former members of the National Republican Party, the Anti-Masonic Party, and disaffected Democrats.</v>
      </c>
      <c r="T33">
        <f t="shared" si="1"/>
        <v>0.49</v>
      </c>
      <c r="U33" t="str">
        <f t="shared" si="0"/>
        <v>13th</v>
      </c>
      <c r="V33" t="b">
        <v>0</v>
      </c>
      <c r="W33" t="s">
        <v>177</v>
      </c>
      <c r="X33" t="str">
        <f t="shared" si="2"/>
        <v/>
      </c>
      <c r="Y33" t="str">
        <f t="shared" si="3"/>
        <v>William Henry Harrison and 3 more</v>
      </c>
      <c r="Z33" t="str">
        <f t="shared" si="4"/>
        <v>https://en.wikipedia.org/wiki/1836_United_States_presidential_election</v>
      </c>
    </row>
    <row r="34" spans="1:26" x14ac:dyDescent="0.25">
      <c r="A34">
        <v>14</v>
      </c>
      <c r="B34">
        <f>VLOOKUP(D34,party!A:E,5,0)</f>
        <v>26</v>
      </c>
      <c r="C34">
        <v>1840</v>
      </c>
      <c r="D34" s="14" t="s">
        <v>21</v>
      </c>
      <c r="G34" s="6">
        <v>1128854</v>
      </c>
      <c r="H34" s="33">
        <v>0.46800000000000003</v>
      </c>
      <c r="I34" s="42">
        <v>60</v>
      </c>
      <c r="P34" t="str">
        <f t="shared" si="5"/>
        <v>46.8%</v>
      </c>
      <c r="Q34" t="str">
        <f>IF(IFERROR(VLOOKUP($D34,party!$A:$D,2,0),"")="","",IFERROR(VLOOKUP($D34,party!$A:$D,2,0),""))</f>
        <v/>
      </c>
      <c r="R34" t="str">
        <f>IF(IFERROR(VLOOKUP($D34,party!$A:$D,3,0),"")="","",IFERROR(VLOOKUP($D34,party!$A:$D,3,0),""))</f>
        <v>https://en.wikipedia.org/wiki/Democratic_Party_(United_States)</v>
      </c>
      <c r="S34" t="str">
        <f>IF(IFERROR(VLOOKUP($D34,party!$A:$D,4,0),"")="","",IFERROR(VLOOKUP($D34,party!$A:$D,4,0),""))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34">
        <f t="shared" si="1"/>
        <v>0.46800000000000003</v>
      </c>
      <c r="U34" t="str">
        <f t="shared" ref="U34:U65" si="6">_xlfn.CONCAT(TEXT(A34,"#"), IF(AND(A34&gt;=10, A34&lt;=19), "th", IF(MOD(A34,10) = 1, "st", IF(MOD(A34,10) = 2, "nd", IF(MOD(A34,10) = 3, "rd", "th")))))</f>
        <v>14th</v>
      </c>
      <c r="V34" t="b">
        <v>0</v>
      </c>
      <c r="W34" t="s">
        <v>27</v>
      </c>
      <c r="X34" t="str">
        <f t="shared" si="2"/>
        <v/>
      </c>
      <c r="Y34" t="str">
        <f t="shared" si="3"/>
        <v>Martin Van Buren</v>
      </c>
      <c r="Z34" t="str">
        <f t="shared" si="4"/>
        <v>https://en.wikipedia.org/wiki/1840_United_States_presidential_election</v>
      </c>
    </row>
    <row r="35" spans="1:26" x14ac:dyDescent="0.25">
      <c r="A35">
        <v>14</v>
      </c>
      <c r="B35">
        <f>VLOOKUP(D35,party!A:E,5,0)</f>
        <v>15</v>
      </c>
      <c r="C35">
        <v>1840</v>
      </c>
      <c r="D35" s="18" t="s">
        <v>26</v>
      </c>
      <c r="E35" t="s">
        <v>28</v>
      </c>
      <c r="G35" s="5">
        <v>1275390</v>
      </c>
      <c r="H35" s="33">
        <v>0.52900000000000003</v>
      </c>
      <c r="I35" s="42">
        <v>234</v>
      </c>
      <c r="P35" t="str">
        <f t="shared" si="5"/>
        <v>52.9%</v>
      </c>
      <c r="Q35" t="str">
        <f>IF(IFERROR(VLOOKUP($D35,party!$A:$D,2,0),"")="","",IFERROR(VLOOKUP($D35,party!$A:$D,2,0),""))</f>
        <v/>
      </c>
      <c r="R35" t="str">
        <f>IF(IFERROR(VLOOKUP($D35,party!$A:$D,3,0),"")="","",IFERROR(VLOOKUP($D35,party!$A:$D,3,0),""))</f>
        <v>https://en.wikipedia.org/wiki/Whig_Party_(United_States)</v>
      </c>
      <c r="S35" t="str">
        <f>IF(IFERROR(VLOOKUP($D35,party!$A:$D,4,0),"")="","",IFERROR(VLOOKUP($D35,party!$A:$D,4,0),""))</f>
        <v>The Whig Party was a mid-19th century political party in the United States. Alongside the Democratic Party, it was one of two major parties between the late 1830s and the early 1850s and part of the Second Party System.
The Whigs emerged in the 1830s in opposition to President Andrew Jackson, pulling together former members of the National Republican Party, the Anti-Masonic Party, and disaffected Democrats.</v>
      </c>
      <c r="T35">
        <f t="shared" si="1"/>
        <v>0.52900000000000003</v>
      </c>
      <c r="U35" t="str">
        <f t="shared" si="6"/>
        <v>14th</v>
      </c>
      <c r="V35" t="b">
        <v>1</v>
      </c>
      <c r="W35" t="s">
        <v>171</v>
      </c>
      <c r="X35" t="str">
        <f t="shared" si="2"/>
        <v/>
      </c>
      <c r="Y35" t="str">
        <f t="shared" si="3"/>
        <v/>
      </c>
      <c r="Z35" t="str">
        <f t="shared" si="4"/>
        <v>https://en.wikipedia.org/wiki/1840_United_States_presidential_election</v>
      </c>
    </row>
    <row r="36" spans="1:26" x14ac:dyDescent="0.25">
      <c r="A36">
        <v>15</v>
      </c>
      <c r="B36">
        <f>VLOOKUP(D36,party!A:E,5,0)</f>
        <v>26</v>
      </c>
      <c r="C36">
        <v>1844</v>
      </c>
      <c r="D36" s="14" t="s">
        <v>21</v>
      </c>
      <c r="E36" t="s">
        <v>29</v>
      </c>
      <c r="G36" s="5">
        <v>1339494</v>
      </c>
      <c r="H36" s="33">
        <v>0.495</v>
      </c>
      <c r="I36" s="42">
        <v>170</v>
      </c>
      <c r="P36" t="str">
        <f t="shared" si="5"/>
        <v>49.5%</v>
      </c>
      <c r="Q36" t="str">
        <f>IF(IFERROR(VLOOKUP($D36,party!$A:$D,2,0),"")="","",IFERROR(VLOOKUP($D36,party!$A:$D,2,0),""))</f>
        <v/>
      </c>
      <c r="R36" t="str">
        <f>IF(IFERROR(VLOOKUP($D36,party!$A:$D,3,0),"")="","",IFERROR(VLOOKUP($D36,party!$A:$D,3,0),""))</f>
        <v>https://en.wikipedia.org/wiki/Democratic_Party_(United_States)</v>
      </c>
      <c r="S36" t="str">
        <f>IF(IFERROR(VLOOKUP($D36,party!$A:$D,4,0),"")="","",IFERROR(VLOOKUP($D36,party!$A:$D,4,0),""))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36">
        <f t="shared" si="1"/>
        <v>0.495</v>
      </c>
      <c r="U36" t="str">
        <f t="shared" si="6"/>
        <v>15th</v>
      </c>
      <c r="V36" t="b">
        <v>1</v>
      </c>
      <c r="W36" t="s">
        <v>171</v>
      </c>
      <c r="X36" t="str">
        <f t="shared" si="2"/>
        <v/>
      </c>
      <c r="Y36" t="str">
        <f t="shared" si="3"/>
        <v/>
      </c>
      <c r="Z36" t="str">
        <f t="shared" si="4"/>
        <v>https://en.wikipedia.org/wiki/1844_United_States_presidential_election</v>
      </c>
    </row>
    <row r="37" spans="1:26" x14ac:dyDescent="0.25">
      <c r="A37">
        <v>15</v>
      </c>
      <c r="B37">
        <f>VLOOKUP(D37,party!A:E,5,0)</f>
        <v>15</v>
      </c>
      <c r="C37">
        <v>1844</v>
      </c>
      <c r="D37" s="18" t="s">
        <v>26</v>
      </c>
      <c r="G37" s="5">
        <v>1300004</v>
      </c>
      <c r="H37" s="33">
        <v>0.48099999999999998</v>
      </c>
      <c r="I37" s="42">
        <v>105</v>
      </c>
      <c r="P37" t="str">
        <f t="shared" si="5"/>
        <v>48.1%</v>
      </c>
      <c r="Q37" t="str">
        <f>IF(IFERROR(VLOOKUP($D37,party!$A:$D,2,0),"")="","",IFERROR(VLOOKUP($D37,party!$A:$D,2,0),""))</f>
        <v/>
      </c>
      <c r="R37" t="str">
        <f>IF(IFERROR(VLOOKUP($D37,party!$A:$D,3,0),"")="","",IFERROR(VLOOKUP($D37,party!$A:$D,3,0),""))</f>
        <v>https://en.wikipedia.org/wiki/Whig_Party_(United_States)</v>
      </c>
      <c r="S37" t="str">
        <f>IF(IFERROR(VLOOKUP($D37,party!$A:$D,4,0),"")="","",IFERROR(VLOOKUP($D37,party!$A:$D,4,0),""))</f>
        <v>The Whig Party was a mid-19th century political party in the United States. Alongside the Democratic Party, it was one of two major parties between the late 1830s and the early 1850s and part of the Second Party System.
The Whigs emerged in the 1830s in opposition to President Andrew Jackson, pulling together former members of the National Republican Party, the Anti-Masonic Party, and disaffected Democrats.</v>
      </c>
      <c r="T37">
        <f t="shared" si="1"/>
        <v>0.48099999999999998</v>
      </c>
      <c r="U37" t="str">
        <f t="shared" si="6"/>
        <v>15th</v>
      </c>
      <c r="V37" t="b">
        <v>0</v>
      </c>
      <c r="W37" t="s">
        <v>128</v>
      </c>
      <c r="X37" t="str">
        <f t="shared" si="2"/>
        <v/>
      </c>
      <c r="Y37" t="str">
        <f t="shared" si="3"/>
        <v>Henry Clay</v>
      </c>
      <c r="Z37" t="str">
        <f t="shared" si="4"/>
        <v>https://en.wikipedia.org/wiki/1844_United_States_presidential_election</v>
      </c>
    </row>
    <row r="38" spans="1:26" x14ac:dyDescent="0.25">
      <c r="A38">
        <v>16</v>
      </c>
      <c r="B38">
        <f>VLOOKUP(D38,party!A:E,5,0)</f>
        <v>26</v>
      </c>
      <c r="C38">
        <v>1848</v>
      </c>
      <c r="D38" s="14" t="s">
        <v>21</v>
      </c>
      <c r="G38" s="5">
        <v>1223460</v>
      </c>
      <c r="H38" s="33">
        <v>0.42499999999999999</v>
      </c>
      <c r="I38" s="42">
        <v>127</v>
      </c>
      <c r="P38" t="str">
        <f t="shared" si="5"/>
        <v>42.5%</v>
      </c>
      <c r="Q38" t="str">
        <f>IF(IFERROR(VLOOKUP($D38,party!$A:$D,2,0),"")="","",IFERROR(VLOOKUP($D38,party!$A:$D,2,0),""))</f>
        <v/>
      </c>
      <c r="R38" t="str">
        <f>IF(IFERROR(VLOOKUP($D38,party!$A:$D,3,0),"")="","",IFERROR(VLOOKUP($D38,party!$A:$D,3,0),""))</f>
        <v>https://en.wikipedia.org/wiki/Democratic_Party_(United_States)</v>
      </c>
      <c r="S38" t="str">
        <f>IF(IFERROR(VLOOKUP($D38,party!$A:$D,4,0),"")="","",IFERROR(VLOOKUP($D38,party!$A:$D,4,0),""))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38">
        <f t="shared" si="1"/>
        <v>0.42499999999999999</v>
      </c>
      <c r="U38" t="str">
        <f t="shared" si="6"/>
        <v>16th</v>
      </c>
      <c r="V38" t="b">
        <v>0</v>
      </c>
      <c r="W38" t="s">
        <v>131</v>
      </c>
      <c r="X38" t="str">
        <f t="shared" si="2"/>
        <v/>
      </c>
      <c r="Y38" t="str">
        <f t="shared" si="3"/>
        <v>Lewis Cass</v>
      </c>
      <c r="Z38" t="str">
        <f t="shared" si="4"/>
        <v>https://en.wikipedia.org/wiki/1848_United_States_presidential_election</v>
      </c>
    </row>
    <row r="39" spans="1:26" x14ac:dyDescent="0.25">
      <c r="A39">
        <v>16</v>
      </c>
      <c r="B39">
        <f>VLOOKUP(D39,party!A:E,5,0)</f>
        <v>15</v>
      </c>
      <c r="C39">
        <v>1848</v>
      </c>
      <c r="D39" s="18" t="s">
        <v>26</v>
      </c>
      <c r="E39" t="s">
        <v>31</v>
      </c>
      <c r="G39" s="5">
        <v>1361393</v>
      </c>
      <c r="H39" s="33">
        <v>0.47299999999999998</v>
      </c>
      <c r="I39" s="42">
        <v>163</v>
      </c>
      <c r="P39" t="str">
        <f t="shared" si="5"/>
        <v>47.3%</v>
      </c>
      <c r="Q39" t="str">
        <f>IF(IFERROR(VLOOKUP($D39,party!$A:$D,2,0),"")="","",IFERROR(VLOOKUP($D39,party!$A:$D,2,0),""))</f>
        <v/>
      </c>
      <c r="R39" t="str">
        <f>IF(IFERROR(VLOOKUP($D39,party!$A:$D,3,0),"")="","",IFERROR(VLOOKUP($D39,party!$A:$D,3,0),""))</f>
        <v>https://en.wikipedia.org/wiki/Whig_Party_(United_States)</v>
      </c>
      <c r="S39" t="str">
        <f>IF(IFERROR(VLOOKUP($D39,party!$A:$D,4,0),"")="","",IFERROR(VLOOKUP($D39,party!$A:$D,4,0),""))</f>
        <v>The Whig Party was a mid-19th century political party in the United States. Alongside the Democratic Party, it was one of two major parties between the late 1830s and the early 1850s and part of the Second Party System.
The Whigs emerged in the 1830s in opposition to President Andrew Jackson, pulling together former members of the National Republican Party, the Anti-Masonic Party, and disaffected Democrats.</v>
      </c>
      <c r="T39">
        <f t="shared" si="1"/>
        <v>0.47299999999999998</v>
      </c>
      <c r="U39" t="str">
        <f t="shared" si="6"/>
        <v>16th</v>
      </c>
      <c r="V39" t="b">
        <v>1</v>
      </c>
      <c r="W39" t="s">
        <v>171</v>
      </c>
      <c r="X39" t="str">
        <f t="shared" si="2"/>
        <v/>
      </c>
      <c r="Y39" t="str">
        <f t="shared" si="3"/>
        <v/>
      </c>
      <c r="Z39" t="str">
        <f t="shared" si="4"/>
        <v>https://en.wikipedia.org/wiki/1848_United_States_presidential_election</v>
      </c>
    </row>
    <row r="40" spans="1:26" x14ac:dyDescent="0.25">
      <c r="A40">
        <v>16</v>
      </c>
      <c r="B40">
        <f>VLOOKUP(D40,party!A:E,5,0)</f>
        <v>16</v>
      </c>
      <c r="C40">
        <v>1848</v>
      </c>
      <c r="D40" s="19" t="s">
        <v>30</v>
      </c>
      <c r="G40" s="5">
        <v>291501</v>
      </c>
      <c r="H40" s="33">
        <v>0.10100000000000001</v>
      </c>
      <c r="I40" s="40">
        <v>0</v>
      </c>
      <c r="P40" t="str">
        <f t="shared" si="5"/>
        <v>10.1%</v>
      </c>
      <c r="Q40" t="str">
        <f>IF(IFERROR(VLOOKUP($D40,party!$A:$D,2,0),"")="","",IFERROR(VLOOKUP($D40,party!$A:$D,2,0),""))</f>
        <v/>
      </c>
      <c r="R40" t="str">
        <f>IF(IFERROR(VLOOKUP($D40,party!$A:$D,3,0),"")="","",IFERROR(VLOOKUP($D40,party!$A:$D,3,0),""))</f>
        <v>https://en.wikipedia.org/wiki/Free_Soil_Party</v>
      </c>
      <c r="S40" t="str">
        <f>IF(IFERROR(VLOOKUP($D40,party!$A:$D,4,0),"")="","",IFERROR(VLOOKUP($D40,party!$A:$D,4,0),""))</f>
        <v>The Free Soil Party was a political party in the United States from 1848 to 1854, when it merged into the Republican Party. The party was focused on opposing the expansion of slavery into the western territories of the United States.</v>
      </c>
      <c r="T40">
        <f t="shared" si="1"/>
        <v>0.10100000000000001</v>
      </c>
      <c r="U40" t="str">
        <f t="shared" si="6"/>
        <v>16th</v>
      </c>
      <c r="V40" t="b">
        <v>0</v>
      </c>
      <c r="W40" t="s">
        <v>27</v>
      </c>
      <c r="X40" t="str">
        <f t="shared" si="2"/>
        <v/>
      </c>
      <c r="Y40" t="str">
        <f t="shared" si="3"/>
        <v>Martin Van Buren</v>
      </c>
      <c r="Z40" t="str">
        <f t="shared" si="4"/>
        <v>https://en.wikipedia.org/wiki/1848_United_States_presidential_election</v>
      </c>
    </row>
    <row r="41" spans="1:26" x14ac:dyDescent="0.25">
      <c r="A41">
        <v>17</v>
      </c>
      <c r="B41">
        <f>VLOOKUP(D41,party!A:E,5,0)</f>
        <v>26</v>
      </c>
      <c r="C41">
        <v>1852</v>
      </c>
      <c r="D41" s="14" t="s">
        <v>21</v>
      </c>
      <c r="E41" t="s">
        <v>32</v>
      </c>
      <c r="G41" s="5">
        <v>1607510</v>
      </c>
      <c r="H41" s="33">
        <v>0.50800000000000001</v>
      </c>
      <c r="I41" s="42">
        <v>254</v>
      </c>
      <c r="P41" t="str">
        <f t="shared" si="5"/>
        <v>50.8%</v>
      </c>
      <c r="Q41" t="str">
        <f>IF(IFERROR(VLOOKUP($D41,party!$A:$D,2,0),"")="","",IFERROR(VLOOKUP($D41,party!$A:$D,2,0),""))</f>
        <v/>
      </c>
      <c r="R41" t="str">
        <f>IF(IFERROR(VLOOKUP($D41,party!$A:$D,3,0),"")="","",IFERROR(VLOOKUP($D41,party!$A:$D,3,0),""))</f>
        <v>https://en.wikipedia.org/wiki/Democratic_Party_(United_States)</v>
      </c>
      <c r="S41" t="str">
        <f>IF(IFERROR(VLOOKUP($D41,party!$A:$D,4,0),"")="","",IFERROR(VLOOKUP($D41,party!$A:$D,4,0),""))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41">
        <f t="shared" si="1"/>
        <v>0.50800000000000001</v>
      </c>
      <c r="U41" t="str">
        <f t="shared" si="6"/>
        <v>17th</v>
      </c>
      <c r="V41" t="b">
        <v>1</v>
      </c>
      <c r="W41" t="s">
        <v>171</v>
      </c>
      <c r="X41" t="str">
        <f t="shared" si="2"/>
        <v/>
      </c>
      <c r="Y41" t="str">
        <f t="shared" si="3"/>
        <v/>
      </c>
      <c r="Z41" t="str">
        <f t="shared" si="4"/>
        <v>https://en.wikipedia.org/wiki/1852_United_States_presidential_election</v>
      </c>
    </row>
    <row r="42" spans="1:26" x14ac:dyDescent="0.25">
      <c r="A42">
        <v>17</v>
      </c>
      <c r="B42">
        <f>VLOOKUP(D42,party!A:E,5,0)</f>
        <v>15</v>
      </c>
      <c r="C42">
        <v>1852</v>
      </c>
      <c r="D42" s="18" t="s">
        <v>26</v>
      </c>
      <c r="G42" s="5">
        <v>1386942</v>
      </c>
      <c r="H42" s="33">
        <v>0.439</v>
      </c>
      <c r="I42" s="42">
        <v>42</v>
      </c>
      <c r="P42" t="str">
        <f t="shared" si="5"/>
        <v>43.9%</v>
      </c>
      <c r="Q42" t="str">
        <f>IF(IFERROR(VLOOKUP($D42,party!$A:$D,2,0),"")="","",IFERROR(VLOOKUP($D42,party!$A:$D,2,0),""))</f>
        <v/>
      </c>
      <c r="R42" t="str">
        <f>IF(IFERROR(VLOOKUP($D42,party!$A:$D,3,0),"")="","",IFERROR(VLOOKUP($D42,party!$A:$D,3,0),""))</f>
        <v>https://en.wikipedia.org/wiki/Whig_Party_(United_States)</v>
      </c>
      <c r="S42" t="str">
        <f>IF(IFERROR(VLOOKUP($D42,party!$A:$D,4,0),"")="","",IFERROR(VLOOKUP($D42,party!$A:$D,4,0),""))</f>
        <v>The Whig Party was a mid-19th century political party in the United States. Alongside the Democratic Party, it was one of two major parties between the late 1830s and the early 1850s and part of the Second Party System.
The Whigs emerged in the 1830s in opposition to President Andrew Jackson, pulling together former members of the National Republican Party, the Anti-Masonic Party, and disaffected Democrats.</v>
      </c>
      <c r="T42">
        <f t="shared" si="1"/>
        <v>0.439</v>
      </c>
      <c r="U42" t="str">
        <f t="shared" si="6"/>
        <v>17th</v>
      </c>
      <c r="V42" t="b">
        <v>0</v>
      </c>
      <c r="W42" t="s">
        <v>132</v>
      </c>
      <c r="X42" t="str">
        <f t="shared" si="2"/>
        <v/>
      </c>
      <c r="Y42" t="str">
        <f t="shared" si="3"/>
        <v>Winfield Scott</v>
      </c>
      <c r="Z42" t="str">
        <f t="shared" si="4"/>
        <v>https://en.wikipedia.org/wiki/1852_United_States_presidential_election</v>
      </c>
    </row>
    <row r="43" spans="1:26" x14ac:dyDescent="0.25">
      <c r="A43">
        <v>17</v>
      </c>
      <c r="B43">
        <f>VLOOKUP(D43,party!A:E,5,0)</f>
        <v>16</v>
      </c>
      <c r="C43">
        <v>1852</v>
      </c>
      <c r="D43" s="19" t="s">
        <v>30</v>
      </c>
      <c r="G43" s="5">
        <v>155210</v>
      </c>
      <c r="H43" s="33">
        <v>4.9000000000000002E-2</v>
      </c>
      <c r="I43" s="42">
        <v>0</v>
      </c>
      <c r="P43" t="str">
        <f t="shared" si="5"/>
        <v>4.9%</v>
      </c>
      <c r="Q43" t="str">
        <f>IF(IFERROR(VLOOKUP($D43,party!$A:$D,2,0),"")="","",IFERROR(VLOOKUP($D43,party!$A:$D,2,0),""))</f>
        <v/>
      </c>
      <c r="R43" t="str">
        <f>IF(IFERROR(VLOOKUP($D43,party!$A:$D,3,0),"")="","",IFERROR(VLOOKUP($D43,party!$A:$D,3,0),""))</f>
        <v>https://en.wikipedia.org/wiki/Free_Soil_Party</v>
      </c>
      <c r="S43" t="str">
        <f>IF(IFERROR(VLOOKUP($D43,party!$A:$D,4,0),"")="","",IFERROR(VLOOKUP($D43,party!$A:$D,4,0),""))</f>
        <v>The Free Soil Party was a political party in the United States from 1848 to 1854, when it merged into the Republican Party. The party was focused on opposing the expansion of slavery into the western territories of the United States.</v>
      </c>
      <c r="T43">
        <f t="shared" si="1"/>
        <v>4.9000000000000002E-2</v>
      </c>
      <c r="U43" t="str">
        <f t="shared" si="6"/>
        <v>17th</v>
      </c>
      <c r="V43" t="b">
        <v>0</v>
      </c>
      <c r="W43" t="s">
        <v>133</v>
      </c>
      <c r="X43" t="str">
        <f t="shared" si="2"/>
        <v/>
      </c>
      <c r="Y43" t="str">
        <f t="shared" si="3"/>
        <v>John P. Hale</v>
      </c>
      <c r="Z43" t="str">
        <f t="shared" si="4"/>
        <v>https://en.wikipedia.org/wiki/1852_United_States_presidential_election</v>
      </c>
    </row>
    <row r="44" spans="1:26" x14ac:dyDescent="0.25">
      <c r="A44">
        <v>18</v>
      </c>
      <c r="B44">
        <f>VLOOKUP(D44,party!A:E,5,0)</f>
        <v>26</v>
      </c>
      <c r="C44">
        <v>1856</v>
      </c>
      <c r="D44" s="14" t="s">
        <v>21</v>
      </c>
      <c r="E44" t="s">
        <v>35</v>
      </c>
      <c r="G44" s="5">
        <v>1836072</v>
      </c>
      <c r="H44" s="33">
        <v>0.45300000000000001</v>
      </c>
      <c r="I44" s="42">
        <v>174</v>
      </c>
      <c r="P44" t="str">
        <f t="shared" si="5"/>
        <v>45.3%</v>
      </c>
      <c r="Q44" t="str">
        <f>IF(IFERROR(VLOOKUP($D44,party!$A:$D,2,0),"")="","",IFERROR(VLOOKUP($D44,party!$A:$D,2,0),""))</f>
        <v/>
      </c>
      <c r="R44" t="str">
        <f>IF(IFERROR(VLOOKUP($D44,party!$A:$D,3,0),"")="","",IFERROR(VLOOKUP($D44,party!$A:$D,3,0),""))</f>
        <v>https://en.wikipedia.org/wiki/Democratic_Party_(United_States)</v>
      </c>
      <c r="S44" t="str">
        <f>IF(IFERROR(VLOOKUP($D44,party!$A:$D,4,0),"")="","",IFERROR(VLOOKUP($D44,party!$A:$D,4,0),""))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44">
        <f t="shared" si="1"/>
        <v>0.45300000000000001</v>
      </c>
      <c r="U44" t="str">
        <f t="shared" si="6"/>
        <v>18th</v>
      </c>
      <c r="V44" t="b">
        <v>1</v>
      </c>
      <c r="W44" t="s">
        <v>171</v>
      </c>
      <c r="X44" t="str">
        <f t="shared" si="2"/>
        <v/>
      </c>
      <c r="Y44" t="str">
        <f t="shared" si="3"/>
        <v/>
      </c>
      <c r="Z44" t="str">
        <f t="shared" si="4"/>
        <v>https://en.wikipedia.org/wiki/1856_United_States_presidential_election</v>
      </c>
    </row>
    <row r="45" spans="1:26" x14ac:dyDescent="0.25">
      <c r="A45">
        <v>18</v>
      </c>
      <c r="B45">
        <f>VLOOKUP(D45,party!A:E,5,0)</f>
        <v>17</v>
      </c>
      <c r="C45">
        <v>1856</v>
      </c>
      <c r="D45" s="10" t="s">
        <v>33</v>
      </c>
      <c r="G45" s="5">
        <v>1342345</v>
      </c>
      <c r="H45" s="33">
        <v>0.33100000000000002</v>
      </c>
      <c r="I45" s="42">
        <v>114</v>
      </c>
      <c r="P45" t="str">
        <f t="shared" si="5"/>
        <v>33.1%</v>
      </c>
      <c r="Q45" t="str">
        <f>IF(IFERROR(VLOOKUP($D45,party!$A:$D,2,0),"")="","",IFERROR(VLOOKUP($D45,party!$A:$D,2,0),""))</f>
        <v/>
      </c>
      <c r="R45" t="str">
        <f>IF(IFERROR(VLOOKUP($D45,party!$A:$D,3,0),"")="","",IFERROR(VLOOKUP($D45,party!$A:$D,3,0),""))</f>
        <v>https://en.wikipedia.org/wiki/Republican_Party_(United_States)</v>
      </c>
      <c r="S45" t="str">
        <f>IF(IFERROR(VLOOKUP($D45,party!$A:$D,4,0),"")="","",IFERROR(VLOOKUP($D45,party!$A:$D,4,0),""))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45">
        <f t="shared" si="1"/>
        <v>0.33100000000000002</v>
      </c>
      <c r="U45" t="str">
        <f t="shared" si="6"/>
        <v>18th</v>
      </c>
      <c r="V45" t="b">
        <v>0</v>
      </c>
      <c r="W45" t="s">
        <v>134</v>
      </c>
      <c r="X45" t="str">
        <f t="shared" si="2"/>
        <v/>
      </c>
      <c r="Y45" t="str">
        <f t="shared" si="3"/>
        <v>John C. Frémont</v>
      </c>
      <c r="Z45" t="str">
        <f t="shared" si="4"/>
        <v>https://en.wikipedia.org/wiki/1856_United_States_presidential_election</v>
      </c>
    </row>
    <row r="46" spans="1:26" x14ac:dyDescent="0.25">
      <c r="A46">
        <v>18</v>
      </c>
      <c r="B46">
        <f>VLOOKUP(D46,party!A:E,5,0)</f>
        <v>3</v>
      </c>
      <c r="C46">
        <v>1856</v>
      </c>
      <c r="D46" s="22" t="s">
        <v>34</v>
      </c>
      <c r="G46" s="5">
        <v>873053</v>
      </c>
      <c r="H46" s="33">
        <v>0.216</v>
      </c>
      <c r="I46" s="42">
        <v>8</v>
      </c>
      <c r="P46" t="str">
        <f t="shared" si="5"/>
        <v>21.6%</v>
      </c>
      <c r="Q46" t="str">
        <f>IF(IFERROR(VLOOKUP($D46,party!$A:$D,2,0),"")="","",IFERROR(VLOOKUP($D46,party!$A:$D,2,0),""))</f>
        <v/>
      </c>
      <c r="R46" t="str">
        <f>IF(IFERROR(VLOOKUP($D46,party!$A:$D,3,0),"")="","",IFERROR(VLOOKUP($D46,party!$A:$D,3,0),""))</f>
        <v>https://en.wikipedia.org/wiki/Know_Nothing</v>
      </c>
      <c r="S46" t="str">
        <f>IF(IFERROR(VLOOKUP($D46,party!$A:$D,4,0),"")="","",IFERROR(VLOOKUP($D46,party!$A:$D,4,0),""))</f>
        <v>The Know Nothings were a nativist political movement in the United States in the 1850s, officially known as the Native American Party before 1855, and afterwards simply the American Party. Members of the movement were required to say "I know nothing" whenever they were asked about its specifics by outsiders, providing the group with its colloquial name.
Supporters of the Know Nothing movement believed that an alleged "Romanist" conspiracy to subvert civil and religious liberty in the United States was being hatched by Catholics. Therefore, they sought to politically organize native-born Protestants in defense of their traditional religious and political values.
The Know Nothing movement briefly emerged as a major political party in the form of the American Party. The collapse of the Whig Party after the passage of the Kansas–Nebraska Act left an opening for the emergence of a new major political party in opposition to the Democratic Party.</v>
      </c>
      <c r="T46">
        <f t="shared" si="1"/>
        <v>0.216</v>
      </c>
      <c r="U46" t="str">
        <f t="shared" si="6"/>
        <v>18th</v>
      </c>
      <c r="V46" t="b">
        <v>0</v>
      </c>
      <c r="W46" t="s">
        <v>135</v>
      </c>
      <c r="X46" t="str">
        <f t="shared" si="2"/>
        <v/>
      </c>
      <c r="Y46" t="str">
        <f t="shared" si="3"/>
        <v>Millard Fillmore</v>
      </c>
      <c r="Z46" t="str">
        <f t="shared" si="4"/>
        <v>https://en.wikipedia.org/wiki/1856_United_States_presidential_election</v>
      </c>
    </row>
    <row r="47" spans="1:26" x14ac:dyDescent="0.25">
      <c r="A47">
        <v>19</v>
      </c>
      <c r="B47">
        <f>VLOOKUP(D47,party!A:E,5,0)</f>
        <v>17</v>
      </c>
      <c r="C47">
        <v>1860</v>
      </c>
      <c r="D47" s="10" t="s">
        <v>33</v>
      </c>
      <c r="E47" t="s">
        <v>39</v>
      </c>
      <c r="G47" s="5">
        <v>1865908</v>
      </c>
      <c r="H47" s="33">
        <v>0.39800000000000002</v>
      </c>
      <c r="I47" s="42">
        <v>180</v>
      </c>
      <c r="P47" t="str">
        <f t="shared" si="5"/>
        <v>39.8%</v>
      </c>
      <c r="Q47" t="str">
        <f>IF(IFERROR(VLOOKUP($D47,party!$A:$D,2,0),"")="","",IFERROR(VLOOKUP($D47,party!$A:$D,2,0),""))</f>
        <v/>
      </c>
      <c r="R47" t="str">
        <f>IF(IFERROR(VLOOKUP($D47,party!$A:$D,3,0),"")="","",IFERROR(VLOOKUP($D47,party!$A:$D,3,0),""))</f>
        <v>https://en.wikipedia.org/wiki/Republican_Party_(United_States)</v>
      </c>
      <c r="S47" t="str">
        <f>IF(IFERROR(VLOOKUP($D47,party!$A:$D,4,0),"")="","",IFERROR(VLOOKUP($D47,party!$A:$D,4,0),""))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47">
        <f t="shared" si="1"/>
        <v>0.39800000000000002</v>
      </c>
      <c r="U47" t="str">
        <f t="shared" si="6"/>
        <v>19th</v>
      </c>
      <c r="V47" t="b">
        <v>1</v>
      </c>
      <c r="W47" t="s">
        <v>171</v>
      </c>
      <c r="X47" t="str">
        <f t="shared" si="2"/>
        <v/>
      </c>
      <c r="Y47" t="str">
        <f t="shared" si="3"/>
        <v/>
      </c>
      <c r="Z47" t="str">
        <f t="shared" si="4"/>
        <v>https://en.wikipedia.org/wiki/1860_United_States_presidential_election</v>
      </c>
    </row>
    <row r="48" spans="1:26" x14ac:dyDescent="0.25">
      <c r="A48">
        <v>19</v>
      </c>
      <c r="B48">
        <f>VLOOKUP(D48,party!A:E,5,0)</f>
        <v>28</v>
      </c>
      <c r="C48">
        <v>1860</v>
      </c>
      <c r="D48" t="s">
        <v>36</v>
      </c>
      <c r="G48" s="5">
        <v>848019</v>
      </c>
      <c r="H48" s="33">
        <v>0.18099999999999999</v>
      </c>
      <c r="I48" s="42">
        <v>72</v>
      </c>
      <c r="P48" t="str">
        <f t="shared" si="5"/>
        <v>18.1%</v>
      </c>
      <c r="Q48" t="str">
        <f>IF(IFERROR(VLOOKUP($D48,party!$A:$D,2,0),"")="","",IFERROR(VLOOKUP($D48,party!$A:$D,2,0),""))</f>
        <v>Not a party.</v>
      </c>
      <c r="R48" t="str">
        <f>IF(IFERROR(VLOOKUP($D48,party!$A:$D,3,0),"")="","",IFERROR(VLOOKUP($D48,party!$A:$D,3,0),""))</f>
        <v>https://en.wikipedia.org/wiki/Southern_Democrats</v>
      </c>
      <c r="S48" t="str">
        <f>IF(IFERROR(VLOOKUP($D48,party!$A:$D,4,0),"")="","",IFERROR(VLOOKUP($D48,party!$A:$D,4,0),""))</f>
        <v>Southern Democrats are members of the U.S. Democratic Party who reside in the Southern United States.
Before the American Civil War, Southern Democrats were mostly whites living in the South who believed in Jacksonian democracy. In the 19th century, they defended slavery in the United States and promoted its expansion into the Western United States against the Free Soil opposition in the Northern United States. The United States presidential election of 1860 formalized the split in the Democratic Party and brought about the American Civil War. After the Reconstruction Era ended in the late 1870s, so-called redeemers were Southern Democrats who controlled all the southern states and disenfranchised African-Americans.</v>
      </c>
      <c r="T48">
        <f t="shared" si="1"/>
        <v>0.18099999999999999</v>
      </c>
      <c r="U48" t="str">
        <f t="shared" si="6"/>
        <v>19th</v>
      </c>
      <c r="V48" t="b">
        <v>0</v>
      </c>
      <c r="W48" t="s">
        <v>136</v>
      </c>
      <c r="X48" t="str">
        <f t="shared" si="2"/>
        <v/>
      </c>
      <c r="Y48" t="str">
        <f t="shared" si="3"/>
        <v>John C. Breckinridge</v>
      </c>
      <c r="Z48" t="str">
        <f t="shared" si="4"/>
        <v>https://en.wikipedia.org/wiki/1860_United_States_presidential_election</v>
      </c>
    </row>
    <row r="49" spans="1:27" x14ac:dyDescent="0.25">
      <c r="A49">
        <v>19</v>
      </c>
      <c r="B49">
        <f>VLOOKUP(D49,party!A:E,5,0)</f>
        <v>4</v>
      </c>
      <c r="C49">
        <v>1860</v>
      </c>
      <c r="D49" t="s">
        <v>37</v>
      </c>
      <c r="G49" s="5">
        <v>590901</v>
      </c>
      <c r="H49" s="33">
        <v>0.126</v>
      </c>
      <c r="I49" s="42">
        <v>39</v>
      </c>
      <c r="P49" t="str">
        <f t="shared" si="5"/>
        <v>12.6%</v>
      </c>
      <c r="Q49" t="str">
        <f>IF(IFERROR(VLOOKUP($D49,party!$A:$D,2,0),"")="","",IFERROR(VLOOKUP($D49,party!$A:$D,2,0),""))</f>
        <v/>
      </c>
      <c r="R49" t="str">
        <f>IF(IFERROR(VLOOKUP($D49,party!$A:$D,3,0),"")="","",IFERROR(VLOOKUP($D49,party!$A:$D,3,0),""))</f>
        <v>https://en.wikipedia.org/wiki/Constitutional_Union_Party_(United_States)</v>
      </c>
      <c r="S49" t="str">
        <f>IF(IFERROR(VLOOKUP($D49,party!$A:$D,4,0),"")="","",IFERROR(VLOOKUP($D49,party!$A:$D,4,0),""))</f>
        <v>The Constitutional Union Party was a political party which stood in the 1860 United States elections. It mostly consisted of conservative former Whigs from the Southern United States who wanted to avoid secession over slavery and refused to join either the Republican Party or Democratic Party.</v>
      </c>
      <c r="T49">
        <f t="shared" si="1"/>
        <v>0.126</v>
      </c>
      <c r="U49" t="str">
        <f t="shared" si="6"/>
        <v>19th</v>
      </c>
      <c r="V49" t="b">
        <v>0</v>
      </c>
      <c r="W49" t="s">
        <v>137</v>
      </c>
      <c r="X49" t="str">
        <f t="shared" si="2"/>
        <v/>
      </c>
      <c r="Y49" t="str">
        <f t="shared" si="3"/>
        <v>John Bell</v>
      </c>
      <c r="Z49" t="str">
        <f t="shared" si="4"/>
        <v>https://en.wikipedia.org/wiki/1860_United_States_presidential_election</v>
      </c>
    </row>
    <row r="50" spans="1:27" x14ac:dyDescent="0.25">
      <c r="A50">
        <v>19</v>
      </c>
      <c r="B50">
        <f>VLOOKUP(D50,party!A:E,5,0)</f>
        <v>27</v>
      </c>
      <c r="C50">
        <v>1860</v>
      </c>
      <c r="D50" s="14" t="s">
        <v>38</v>
      </c>
      <c r="G50" s="5">
        <v>1380202</v>
      </c>
      <c r="H50" s="33">
        <v>0.29499999999999998</v>
      </c>
      <c r="I50" s="42">
        <v>12</v>
      </c>
      <c r="P50" t="str">
        <f t="shared" si="5"/>
        <v>29.5%</v>
      </c>
      <c r="Q50" t="str">
        <f>IF(IFERROR(VLOOKUP($D50,party!$A:$D,2,0),"")="","",IFERROR(VLOOKUP($D50,party!$A:$D,2,0),""))</f>
        <v>Not a party.</v>
      </c>
      <c r="R50" t="str">
        <f>IF(IFERROR(VLOOKUP($D50,party!$A:$D,3,0),"")="","",IFERROR(VLOOKUP($D50,party!$A:$D,3,0),""))</f>
        <v>https://en.wikipedia.org/wiki/Northern_Democratic_Party</v>
      </c>
      <c r="S50" t="str">
        <f>IF(IFERROR(VLOOKUP($D50,party!$A:$D,4,0),"")="","",IFERROR(VLOOKUP($D50,party!$A:$D,4,0),""))</f>
        <v>The Northern Democratic Party was a leg of the Democratic Party during the 1860 presidential election, when the party split in two factions because of disagreements over slavery. They held two conventions before the election, in Charleston and Baltimore, where they established their platform. Democratic Candidate Stephen A. Douglas was the nominee and lost to Republican Candidate Abraham Lincoln, whose victory prompted the secession of 11 Southern states and the formation of the Confederate States of America.</v>
      </c>
      <c r="T50">
        <f t="shared" si="1"/>
        <v>0.29499999999999998</v>
      </c>
      <c r="U50" t="str">
        <f t="shared" si="6"/>
        <v>19th</v>
      </c>
      <c r="V50" t="b">
        <v>0</v>
      </c>
      <c r="W50" t="s">
        <v>138</v>
      </c>
      <c r="X50" t="str">
        <f t="shared" si="2"/>
        <v/>
      </c>
      <c r="Y50" t="str">
        <f t="shared" si="3"/>
        <v>Stephen A. Douglas</v>
      </c>
      <c r="Z50" t="str">
        <f t="shared" si="4"/>
        <v>https://en.wikipedia.org/wiki/1860_United_States_presidential_election</v>
      </c>
    </row>
    <row r="51" spans="1:27" x14ac:dyDescent="0.25">
      <c r="A51">
        <v>20</v>
      </c>
      <c r="B51">
        <f>VLOOKUP(D51,party!A:E,5,0)</f>
        <v>26</v>
      </c>
      <c r="C51">
        <v>1864</v>
      </c>
      <c r="D51" s="14" t="s">
        <v>21</v>
      </c>
      <c r="G51" s="5">
        <v>1812807</v>
      </c>
      <c r="H51" s="33">
        <v>0.45</v>
      </c>
      <c r="I51" s="42">
        <v>21</v>
      </c>
      <c r="P51" t="str">
        <f t="shared" si="5"/>
        <v>45.0%</v>
      </c>
      <c r="Q51" t="str">
        <f>IF(IFERROR(VLOOKUP($D51,party!$A:$D,2,0),"")="","",IFERROR(VLOOKUP($D51,party!$A:$D,2,0),""))</f>
        <v/>
      </c>
      <c r="R51" t="str">
        <f>IF(IFERROR(VLOOKUP($D51,party!$A:$D,3,0),"")="","",IFERROR(VLOOKUP($D51,party!$A:$D,3,0),""))</f>
        <v>https://en.wikipedia.org/wiki/Democratic_Party_(United_States)</v>
      </c>
      <c r="S51" t="str">
        <f>IF(IFERROR(VLOOKUP($D51,party!$A:$D,4,0),"")="","",IFERROR(VLOOKUP($D51,party!$A:$D,4,0),""))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51">
        <f t="shared" si="1"/>
        <v>0.45</v>
      </c>
      <c r="U51" t="str">
        <f t="shared" si="6"/>
        <v>20th</v>
      </c>
      <c r="V51" t="b">
        <v>0</v>
      </c>
      <c r="W51" t="s">
        <v>139</v>
      </c>
      <c r="X51" t="str">
        <f t="shared" si="2"/>
        <v/>
      </c>
      <c r="Y51" t="str">
        <f t="shared" si="3"/>
        <v>George B. McClellan</v>
      </c>
      <c r="Z51" t="str">
        <f t="shared" si="4"/>
        <v>https://en.wikipedia.org/wiki/1864_United_States_presidential_election</v>
      </c>
    </row>
    <row r="52" spans="1:27" x14ac:dyDescent="0.25">
      <c r="A52">
        <v>20</v>
      </c>
      <c r="B52">
        <f>VLOOKUP(D52,party!A:E,5,0)</f>
        <v>18</v>
      </c>
      <c r="C52">
        <v>1864</v>
      </c>
      <c r="D52" t="s">
        <v>40</v>
      </c>
      <c r="E52" s="13" t="s">
        <v>39</v>
      </c>
      <c r="G52" s="5">
        <v>2218388</v>
      </c>
      <c r="H52" s="33">
        <v>0.55000000000000004</v>
      </c>
      <c r="I52" s="42">
        <v>212</v>
      </c>
      <c r="P52" t="str">
        <f t="shared" si="5"/>
        <v>55.0%</v>
      </c>
      <c r="Q52" t="str">
        <f>IF(IFERROR(VLOOKUP($D52,party!$A:$D,2,0),"")="","",IFERROR(VLOOKUP($D52,party!$A:$D,2,0),""))</f>
        <v/>
      </c>
      <c r="R52" t="str">
        <f>IF(IFERROR(VLOOKUP($D52,party!$A:$D,3,0),"")="","",IFERROR(VLOOKUP($D52,party!$A:$D,3,0),""))</f>
        <v>https://en.wikipedia.org/wiki/National_Union_Party_(United_States)</v>
      </c>
      <c r="S52" t="str">
        <f>IF(IFERROR(VLOOKUP($D52,party!$A:$D,4,0),"")="","",IFERROR(VLOOKUP($D52,party!$A:$D,4,0),""))</f>
        <v>The National Union Party, commonly the Union Party or Unionists, was a wartime coalition of Republicans, War Democrats, and border state Unconditional Unionists that supported the Lincoln Administration during the American Civil War. It held the 1864 National Union Convention that nominated Abraham Lincoln for president and Andrew Johnson for vice president in the 1864 United States presidential election.</v>
      </c>
      <c r="T52">
        <f t="shared" si="1"/>
        <v>0.55000000000000004</v>
      </c>
      <c r="U52" t="str">
        <f t="shared" si="6"/>
        <v>20th</v>
      </c>
      <c r="V52" t="b">
        <v>1</v>
      </c>
      <c r="W52" t="s">
        <v>171</v>
      </c>
      <c r="X52" t="str">
        <f t="shared" si="2"/>
        <v/>
      </c>
      <c r="Y52" t="str">
        <f t="shared" si="3"/>
        <v/>
      </c>
      <c r="Z52" t="str">
        <f t="shared" si="4"/>
        <v>https://en.wikipedia.org/wiki/1864_United_States_presidential_election</v>
      </c>
      <c r="AA52" s="39" t="s">
        <v>261</v>
      </c>
    </row>
    <row r="53" spans="1:27" x14ac:dyDescent="0.25">
      <c r="A53">
        <v>21</v>
      </c>
      <c r="B53">
        <f>VLOOKUP(D53,party!A:E,5,0)</f>
        <v>26</v>
      </c>
      <c r="C53">
        <v>1868</v>
      </c>
      <c r="D53" s="14" t="s">
        <v>21</v>
      </c>
      <c r="G53" s="5">
        <v>2708744</v>
      </c>
      <c r="H53" s="33">
        <v>0.47299999999999998</v>
      </c>
      <c r="I53" s="42">
        <v>80</v>
      </c>
      <c r="P53" t="str">
        <f t="shared" si="5"/>
        <v>47.3%</v>
      </c>
      <c r="Q53" t="str">
        <f>IF(IFERROR(VLOOKUP($D53,party!$A:$D,2,0),"")="","",IFERROR(VLOOKUP($D53,party!$A:$D,2,0),""))</f>
        <v/>
      </c>
      <c r="R53" t="str">
        <f>IF(IFERROR(VLOOKUP($D53,party!$A:$D,3,0),"")="","",IFERROR(VLOOKUP($D53,party!$A:$D,3,0),""))</f>
        <v>https://en.wikipedia.org/wiki/Democratic_Party_(United_States)</v>
      </c>
      <c r="S53" t="str">
        <f>IF(IFERROR(VLOOKUP($D53,party!$A:$D,4,0),"")="","",IFERROR(VLOOKUP($D53,party!$A:$D,4,0),""))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53">
        <f t="shared" si="1"/>
        <v>0.47299999999999998</v>
      </c>
      <c r="U53" t="str">
        <f t="shared" si="6"/>
        <v>21st</v>
      </c>
      <c r="V53" t="b">
        <v>0</v>
      </c>
      <c r="W53" t="s">
        <v>140</v>
      </c>
      <c r="X53" t="str">
        <f t="shared" si="2"/>
        <v/>
      </c>
      <c r="Y53" t="str">
        <f t="shared" si="3"/>
        <v>Horatio Seymour</v>
      </c>
      <c r="Z53" t="str">
        <f t="shared" si="4"/>
        <v>https://en.wikipedia.org/wiki/1868_United_States_presidential_election</v>
      </c>
    </row>
    <row r="54" spans="1:27" x14ac:dyDescent="0.25">
      <c r="A54">
        <v>21</v>
      </c>
      <c r="B54">
        <f>VLOOKUP(D54,party!A:E,5,0)</f>
        <v>17</v>
      </c>
      <c r="C54">
        <v>1868</v>
      </c>
      <c r="D54" s="10" t="s">
        <v>33</v>
      </c>
      <c r="E54" t="s">
        <v>41</v>
      </c>
      <c r="G54" s="5">
        <v>3013650</v>
      </c>
      <c r="H54" s="33">
        <v>0.52700000000000002</v>
      </c>
      <c r="I54" s="42">
        <v>214</v>
      </c>
      <c r="P54" t="str">
        <f t="shared" si="5"/>
        <v>52.7%</v>
      </c>
      <c r="Q54" t="str">
        <f>IF(IFERROR(VLOOKUP($D54,party!$A:$D,2,0),"")="","",IFERROR(VLOOKUP($D54,party!$A:$D,2,0),""))</f>
        <v/>
      </c>
      <c r="R54" t="str">
        <f>IF(IFERROR(VLOOKUP($D54,party!$A:$D,3,0),"")="","",IFERROR(VLOOKUP($D54,party!$A:$D,3,0),""))</f>
        <v>https://en.wikipedia.org/wiki/Republican_Party_(United_States)</v>
      </c>
      <c r="S54" t="str">
        <f>IF(IFERROR(VLOOKUP($D54,party!$A:$D,4,0),"")="","",IFERROR(VLOOKUP($D54,party!$A:$D,4,0),""))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54">
        <f t="shared" si="1"/>
        <v>0.52700000000000002</v>
      </c>
      <c r="U54" t="str">
        <f t="shared" si="6"/>
        <v>21st</v>
      </c>
      <c r="V54" t="b">
        <v>1</v>
      </c>
      <c r="W54" t="s">
        <v>171</v>
      </c>
      <c r="X54" t="str">
        <f t="shared" si="2"/>
        <v/>
      </c>
      <c r="Y54" t="str">
        <f t="shared" si="3"/>
        <v/>
      </c>
      <c r="Z54" t="str">
        <f t="shared" si="4"/>
        <v>https://en.wikipedia.org/wiki/1868_United_States_presidential_election</v>
      </c>
    </row>
    <row r="55" spans="1:27" ht="15.75" thickBot="1" x14ac:dyDescent="0.3">
      <c r="A55">
        <v>22</v>
      </c>
      <c r="B55">
        <f>VLOOKUP(D55,party!A:E,5,0)</f>
        <v>17</v>
      </c>
      <c r="C55">
        <v>1872</v>
      </c>
      <c r="D55" s="10" t="s">
        <v>33</v>
      </c>
      <c r="E55" t="s">
        <v>41</v>
      </c>
      <c r="G55" s="5">
        <v>3598235</v>
      </c>
      <c r="H55" s="33">
        <v>0.55600000000000005</v>
      </c>
      <c r="I55" s="42">
        <v>286</v>
      </c>
      <c r="P55" t="str">
        <f t="shared" si="5"/>
        <v>55.6%</v>
      </c>
      <c r="Q55" t="str">
        <f>IF(IFERROR(VLOOKUP($D55,party!$A:$D,2,0),"")="","",IFERROR(VLOOKUP($D55,party!$A:$D,2,0),""))</f>
        <v/>
      </c>
      <c r="R55" t="str">
        <f>IF(IFERROR(VLOOKUP($D55,party!$A:$D,3,0),"")="","",IFERROR(VLOOKUP($D55,party!$A:$D,3,0),""))</f>
        <v>https://en.wikipedia.org/wiki/Republican_Party_(United_States)</v>
      </c>
      <c r="S55" t="str">
        <f>IF(IFERROR(VLOOKUP($D55,party!$A:$D,4,0),"")="","",IFERROR(VLOOKUP($D55,party!$A:$D,4,0),""))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55">
        <f t="shared" si="1"/>
        <v>0.55600000000000005</v>
      </c>
      <c r="U55" t="str">
        <f t="shared" si="6"/>
        <v>22nd</v>
      </c>
      <c r="V55" t="b">
        <v>1</v>
      </c>
      <c r="W55" t="s">
        <v>171</v>
      </c>
      <c r="X55" t="str">
        <f t="shared" si="2"/>
        <v/>
      </c>
      <c r="Y55" t="str">
        <f t="shared" si="3"/>
        <v/>
      </c>
      <c r="Z55" t="str">
        <f t="shared" si="4"/>
        <v>https://en.wikipedia.org/wiki/1872_United_States_presidential_election</v>
      </c>
    </row>
    <row r="56" spans="1:27" ht="15.75" thickTop="1" x14ac:dyDescent="0.25">
      <c r="A56">
        <v>22</v>
      </c>
      <c r="B56">
        <f>VLOOKUP(D56,party!A:E,5,0)</f>
        <v>26</v>
      </c>
      <c r="C56">
        <v>1872</v>
      </c>
      <c r="D56" s="14" t="s">
        <v>21</v>
      </c>
      <c r="G56" s="30">
        <v>2834761</v>
      </c>
      <c r="H56" s="36">
        <v>0.438</v>
      </c>
      <c r="I56" s="48" t="s">
        <v>42</v>
      </c>
      <c r="P56" s="8" t="s">
        <v>268</v>
      </c>
      <c r="Q56" t="str">
        <f>IF(IFERROR(VLOOKUP($D56,party!$A:$D,2,0),"")="","",IFERROR(VLOOKUP($D56,party!$A:$D,2,0),""))</f>
        <v/>
      </c>
      <c r="R56" t="str">
        <f>IF(IFERROR(VLOOKUP($D56,party!$A:$D,3,0),"")="","",IFERROR(VLOOKUP($D56,party!$A:$D,3,0),""))</f>
        <v>https://en.wikipedia.org/wiki/Democratic_Party_(United_States)</v>
      </c>
      <c r="S56" t="str">
        <f>IF(IFERROR(VLOOKUP($D56,party!$A:$D,4,0),"")="","",IFERROR(VLOOKUP($D56,party!$A:$D,4,0),""))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56" s="52">
        <v>0.438</v>
      </c>
      <c r="U56" t="str">
        <f t="shared" si="6"/>
        <v>22nd</v>
      </c>
      <c r="V56" t="b">
        <v>0</v>
      </c>
      <c r="W56" t="s">
        <v>178</v>
      </c>
      <c r="X56" t="str">
        <f t="shared" si="2"/>
        <v/>
      </c>
      <c r="Y56" t="str">
        <f t="shared" si="3"/>
        <v>Thomas A. Hendricks and 1 more</v>
      </c>
      <c r="Z56" t="str">
        <f t="shared" si="4"/>
        <v>https://en.wikipedia.org/wiki/1872_United_States_presidential_election</v>
      </c>
      <c r="AA56" s="39" t="s">
        <v>262</v>
      </c>
    </row>
    <row r="57" spans="1:27" ht="15.75" thickBot="1" x14ac:dyDescent="0.3">
      <c r="A57">
        <v>22</v>
      </c>
      <c r="B57">
        <f>VLOOKUP(D57,party!A:E,5,0)</f>
        <v>19</v>
      </c>
      <c r="C57">
        <v>1872</v>
      </c>
      <c r="D57" t="s">
        <v>108</v>
      </c>
      <c r="G57" s="31"/>
      <c r="H57" s="36">
        <v>0.438</v>
      </c>
      <c r="I57" s="49"/>
      <c r="P57" s="8" t="s">
        <v>268</v>
      </c>
      <c r="Q57" t="str">
        <f>IF(IFERROR(VLOOKUP($D57,party!$A:$D,2,0),"")="","",IFERROR(VLOOKUP($D57,party!$A:$D,2,0),""))</f>
        <v/>
      </c>
      <c r="R57" t="str">
        <f>IF(IFERROR(VLOOKUP($D57,party!$A:$D,3,0),"")="","",IFERROR(VLOOKUP($D57,party!$A:$D,3,0),""))</f>
        <v>https://en.wikipedia.org/wiki/Liberal_Republican_Party_(United_States)</v>
      </c>
      <c r="S57" t="str">
        <f>IF(IFERROR(VLOOKUP($D57,party!$A:$D,4,0),"")="","",IFERROR(VLOOKUP($D57,party!$A:$D,4,0),""))</f>
        <v>The Liberal Republican Party was an American political party that was organized in May 1872 to oppose the reelection of President Ulysses S. Grant and his Radical Republican supporters in the presidential election of 1872. The party opposed Grant's Reconstruction policies, particularly the Enforcement Acts that destroyed the Ku Klux Klan. It lost in a landslide, and disappeared from the national stage after the 1872 election.</v>
      </c>
      <c r="T57" s="52">
        <v>0.438</v>
      </c>
      <c r="U57" t="str">
        <f t="shared" si="6"/>
        <v>22nd</v>
      </c>
      <c r="V57" t="b">
        <v>0</v>
      </c>
      <c r="W57" t="s">
        <v>179</v>
      </c>
      <c r="X57" t="str">
        <f t="shared" si="2"/>
        <v/>
      </c>
      <c r="Y57" t="str">
        <f t="shared" si="3"/>
        <v>Benjamin Gratz Brown and 2 more</v>
      </c>
      <c r="Z57" t="str">
        <f t="shared" si="4"/>
        <v>https://en.wikipedia.org/wiki/1872_United_States_presidential_election</v>
      </c>
      <c r="AA57" s="39" t="s">
        <v>262</v>
      </c>
    </row>
    <row r="58" spans="1:27" s="7" customFormat="1" ht="15.75" thickTop="1" x14ac:dyDescent="0.25">
      <c r="A58">
        <v>23</v>
      </c>
      <c r="B58">
        <f>VLOOKUP(D58,party!A:E,5,0)</f>
        <v>26</v>
      </c>
      <c r="C58">
        <v>1876</v>
      </c>
      <c r="D58" s="14" t="s">
        <v>21</v>
      </c>
      <c r="E58"/>
      <c r="F58"/>
      <c r="G58" s="5">
        <v>4286808</v>
      </c>
      <c r="H58" s="33">
        <v>0.50900000000000001</v>
      </c>
      <c r="I58" s="42">
        <v>184</v>
      </c>
      <c r="J58" s="41"/>
      <c r="K58" s="41"/>
      <c r="L58" s="41"/>
      <c r="M58" s="41"/>
      <c r="N58" s="41"/>
      <c r="O58" s="41"/>
      <c r="P58" t="str">
        <f t="shared" si="5"/>
        <v>50.9%</v>
      </c>
      <c r="Q58" t="str">
        <f>IF(IFERROR(VLOOKUP($D58,party!$A:$D,2,0),"")="","",IFERROR(VLOOKUP($D58,party!$A:$D,2,0),""))</f>
        <v/>
      </c>
      <c r="R58" t="str">
        <f>IF(IFERROR(VLOOKUP($D58,party!$A:$D,3,0),"")="","",IFERROR(VLOOKUP($D58,party!$A:$D,3,0),""))</f>
        <v>https://en.wikipedia.org/wiki/Democratic_Party_(United_States)</v>
      </c>
      <c r="S58" t="str">
        <f>IF(IFERROR(VLOOKUP($D58,party!$A:$D,4,0),"")="","",IFERROR(VLOOKUP($D58,party!$A:$D,4,0),""))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58">
        <f t="shared" si="1"/>
        <v>0.50900000000000001</v>
      </c>
      <c r="U58" t="str">
        <f t="shared" si="6"/>
        <v>23rd</v>
      </c>
      <c r="V58" t="b">
        <v>0</v>
      </c>
      <c r="W58" t="s">
        <v>141</v>
      </c>
      <c r="X58" t="str">
        <f t="shared" si="2"/>
        <v/>
      </c>
      <c r="Y58" t="str">
        <f t="shared" si="3"/>
        <v>Samuel J. Tilden</v>
      </c>
      <c r="Z58" t="str">
        <f t="shared" si="4"/>
        <v>https://en.wikipedia.org/wiki/1876_United_States_presidential_election</v>
      </c>
    </row>
    <row r="59" spans="1:27" s="7" customFormat="1" x14ac:dyDescent="0.25">
      <c r="A59">
        <v>23</v>
      </c>
      <c r="B59">
        <f>VLOOKUP(D59,party!A:E,5,0)</f>
        <v>17</v>
      </c>
      <c r="C59">
        <v>1876</v>
      </c>
      <c r="D59" s="10" t="s">
        <v>33</v>
      </c>
      <c r="E59" t="s">
        <v>43</v>
      </c>
      <c r="F59"/>
      <c r="G59" s="5">
        <v>4034142</v>
      </c>
      <c r="H59" s="33">
        <v>0.47899999999999998</v>
      </c>
      <c r="I59" s="42">
        <v>185</v>
      </c>
      <c r="J59" s="41"/>
      <c r="K59" s="41"/>
      <c r="L59" s="41"/>
      <c r="M59" s="41"/>
      <c r="N59" s="41"/>
      <c r="O59" s="41"/>
      <c r="P59" t="str">
        <f t="shared" si="5"/>
        <v>47.9%</v>
      </c>
      <c r="Q59" t="str">
        <f>IF(IFERROR(VLOOKUP($D59,party!$A:$D,2,0),"")="","",IFERROR(VLOOKUP($D59,party!$A:$D,2,0),""))</f>
        <v/>
      </c>
      <c r="R59" t="str">
        <f>IF(IFERROR(VLOOKUP($D59,party!$A:$D,3,0),"")="","",IFERROR(VLOOKUP($D59,party!$A:$D,3,0),""))</f>
        <v>https://en.wikipedia.org/wiki/Republican_Party_(United_States)</v>
      </c>
      <c r="S59" t="str">
        <f>IF(IFERROR(VLOOKUP($D59,party!$A:$D,4,0),"")="","",IFERROR(VLOOKUP($D59,party!$A:$D,4,0),""))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59">
        <f t="shared" si="1"/>
        <v>0.47899999999999998</v>
      </c>
      <c r="U59" t="str">
        <f t="shared" si="6"/>
        <v>23rd</v>
      </c>
      <c r="V59" t="b">
        <v>1</v>
      </c>
      <c r="W59" t="s">
        <v>171</v>
      </c>
      <c r="X59" t="str">
        <f t="shared" si="2"/>
        <v/>
      </c>
      <c r="Y59" t="str">
        <f t="shared" si="3"/>
        <v/>
      </c>
      <c r="Z59" t="str">
        <f t="shared" si="4"/>
        <v>https://en.wikipedia.org/wiki/1876_United_States_presidential_election</v>
      </c>
    </row>
    <row r="60" spans="1:27" s="7" customFormat="1" x14ac:dyDescent="0.25">
      <c r="A60">
        <v>24</v>
      </c>
      <c r="B60">
        <f>VLOOKUP(D60,party!A:E,5,0)</f>
        <v>26</v>
      </c>
      <c r="C60">
        <v>1880</v>
      </c>
      <c r="D60" s="14" t="s">
        <v>21</v>
      </c>
      <c r="E60"/>
      <c r="F60"/>
      <c r="G60" s="5">
        <v>4444260</v>
      </c>
      <c r="H60" s="33">
        <v>0.48299999999999998</v>
      </c>
      <c r="I60" s="42">
        <v>155</v>
      </c>
      <c r="J60" s="41"/>
      <c r="K60" s="41"/>
      <c r="L60" s="41"/>
      <c r="M60" s="41"/>
      <c r="N60" s="41"/>
      <c r="O60" s="41"/>
      <c r="P60" t="str">
        <f t="shared" si="5"/>
        <v>48.3%</v>
      </c>
      <c r="Q60" t="str">
        <f>IF(IFERROR(VLOOKUP($D60,party!$A:$D,2,0),"")="","",IFERROR(VLOOKUP($D60,party!$A:$D,2,0),""))</f>
        <v/>
      </c>
      <c r="R60" t="str">
        <f>IF(IFERROR(VLOOKUP($D60,party!$A:$D,3,0),"")="","",IFERROR(VLOOKUP($D60,party!$A:$D,3,0),""))</f>
        <v>https://en.wikipedia.org/wiki/Democratic_Party_(United_States)</v>
      </c>
      <c r="S60" t="str">
        <f>IF(IFERROR(VLOOKUP($D60,party!$A:$D,4,0),"")="","",IFERROR(VLOOKUP($D60,party!$A:$D,4,0),""))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60">
        <f t="shared" si="1"/>
        <v>0.48299999999999998</v>
      </c>
      <c r="U60" t="str">
        <f t="shared" si="6"/>
        <v>24th</v>
      </c>
      <c r="V60" t="b">
        <v>0</v>
      </c>
      <c r="W60" t="s">
        <v>142</v>
      </c>
      <c r="X60" t="str">
        <f t="shared" si="2"/>
        <v/>
      </c>
      <c r="Y60" t="str">
        <f t="shared" si="3"/>
        <v>Winfield Scott Hancock</v>
      </c>
      <c r="Z60" t="str">
        <f t="shared" si="4"/>
        <v>https://en.wikipedia.org/wiki/1880_United_States_presidential_election</v>
      </c>
    </row>
    <row r="61" spans="1:27" s="7" customFormat="1" x14ac:dyDescent="0.25">
      <c r="A61">
        <v>24</v>
      </c>
      <c r="B61">
        <f>VLOOKUP(D61,party!A:E,5,0)</f>
        <v>17</v>
      </c>
      <c r="C61">
        <v>1880</v>
      </c>
      <c r="D61" s="10" t="s">
        <v>33</v>
      </c>
      <c r="E61" t="s">
        <v>44</v>
      </c>
      <c r="F61"/>
      <c r="G61" s="5">
        <v>4446158</v>
      </c>
      <c r="H61" s="33">
        <v>0.48299999999999998</v>
      </c>
      <c r="I61" s="42">
        <v>214</v>
      </c>
      <c r="J61" s="41"/>
      <c r="K61" s="41"/>
      <c r="L61" s="41"/>
      <c r="M61" s="41"/>
      <c r="N61" s="41"/>
      <c r="O61" s="41"/>
      <c r="P61" t="str">
        <f t="shared" si="5"/>
        <v>48.3%</v>
      </c>
      <c r="Q61" t="str">
        <f>IF(IFERROR(VLOOKUP($D61,party!$A:$D,2,0),"")="","",IFERROR(VLOOKUP($D61,party!$A:$D,2,0),""))</f>
        <v/>
      </c>
      <c r="R61" t="str">
        <f>IF(IFERROR(VLOOKUP($D61,party!$A:$D,3,0),"")="","",IFERROR(VLOOKUP($D61,party!$A:$D,3,0),""))</f>
        <v>https://en.wikipedia.org/wiki/Republican_Party_(United_States)</v>
      </c>
      <c r="S61" t="str">
        <f>IF(IFERROR(VLOOKUP($D61,party!$A:$D,4,0),"")="","",IFERROR(VLOOKUP($D61,party!$A:$D,4,0),""))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61">
        <f t="shared" si="1"/>
        <v>0.48299999999999998</v>
      </c>
      <c r="U61" t="str">
        <f t="shared" si="6"/>
        <v>24th</v>
      </c>
      <c r="V61" t="b">
        <v>1</v>
      </c>
      <c r="W61" t="s">
        <v>171</v>
      </c>
      <c r="X61" t="str">
        <f t="shared" si="2"/>
        <v/>
      </c>
      <c r="Y61" t="str">
        <f t="shared" si="3"/>
        <v/>
      </c>
      <c r="Z61" t="str">
        <f t="shared" si="4"/>
        <v>https://en.wikipedia.org/wiki/1880_United_States_presidential_election</v>
      </c>
    </row>
    <row r="62" spans="1:27" s="7" customFormat="1" x14ac:dyDescent="0.25">
      <c r="A62">
        <v>25</v>
      </c>
      <c r="B62">
        <f>VLOOKUP(D62,party!A:E,5,0)</f>
        <v>26</v>
      </c>
      <c r="C62">
        <v>1884</v>
      </c>
      <c r="D62" s="14" t="s">
        <v>21</v>
      </c>
      <c r="E62" t="s">
        <v>45</v>
      </c>
      <c r="F62"/>
      <c r="G62" s="5">
        <v>4914482</v>
      </c>
      <c r="H62" s="33">
        <v>0.48899999999999999</v>
      </c>
      <c r="I62" s="42">
        <v>219</v>
      </c>
      <c r="J62" s="41"/>
      <c r="K62" s="41"/>
      <c r="L62" s="41"/>
      <c r="M62" s="41"/>
      <c r="N62" s="41"/>
      <c r="O62" s="41"/>
      <c r="P62" t="str">
        <f t="shared" si="5"/>
        <v>48.9%</v>
      </c>
      <c r="Q62" t="str">
        <f>IF(IFERROR(VLOOKUP($D62,party!$A:$D,2,0),"")="","",IFERROR(VLOOKUP($D62,party!$A:$D,2,0),""))</f>
        <v/>
      </c>
      <c r="R62" t="str">
        <f>IF(IFERROR(VLOOKUP($D62,party!$A:$D,3,0),"")="","",IFERROR(VLOOKUP($D62,party!$A:$D,3,0),""))</f>
        <v>https://en.wikipedia.org/wiki/Democratic_Party_(United_States)</v>
      </c>
      <c r="S62" t="str">
        <f>IF(IFERROR(VLOOKUP($D62,party!$A:$D,4,0),"")="","",IFERROR(VLOOKUP($D62,party!$A:$D,4,0),""))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62">
        <f t="shared" si="1"/>
        <v>0.48899999999999999</v>
      </c>
      <c r="U62" t="str">
        <f t="shared" si="6"/>
        <v>25th</v>
      </c>
      <c r="V62" t="b">
        <v>1</v>
      </c>
      <c r="W62" t="s">
        <v>171</v>
      </c>
      <c r="X62" t="str">
        <f t="shared" si="2"/>
        <v/>
      </c>
      <c r="Y62" t="str">
        <f t="shared" si="3"/>
        <v/>
      </c>
      <c r="Z62" t="str">
        <f t="shared" si="4"/>
        <v>https://en.wikipedia.org/wiki/1884_United_States_presidential_election</v>
      </c>
    </row>
    <row r="63" spans="1:27" s="7" customFormat="1" x14ac:dyDescent="0.25">
      <c r="A63">
        <v>25</v>
      </c>
      <c r="B63">
        <f>VLOOKUP(D63,party!A:E,5,0)</f>
        <v>17</v>
      </c>
      <c r="C63">
        <v>1884</v>
      </c>
      <c r="D63" s="10" t="s">
        <v>33</v>
      </c>
      <c r="E63"/>
      <c r="F63"/>
      <c r="G63" s="5">
        <v>4856903</v>
      </c>
      <c r="H63" s="33">
        <v>0.48299999999999998</v>
      </c>
      <c r="I63" s="42">
        <v>182</v>
      </c>
      <c r="J63" s="41"/>
      <c r="K63" s="41"/>
      <c r="L63" s="41"/>
      <c r="M63" s="41"/>
      <c r="N63" s="41"/>
      <c r="O63" s="41"/>
      <c r="P63" t="str">
        <f t="shared" si="5"/>
        <v>48.3%</v>
      </c>
      <c r="Q63" t="str">
        <f>IF(IFERROR(VLOOKUP($D63,party!$A:$D,2,0),"")="","",IFERROR(VLOOKUP($D63,party!$A:$D,2,0),""))</f>
        <v/>
      </c>
      <c r="R63" t="str">
        <f>IF(IFERROR(VLOOKUP($D63,party!$A:$D,3,0),"")="","",IFERROR(VLOOKUP($D63,party!$A:$D,3,0),""))</f>
        <v>https://en.wikipedia.org/wiki/Republican_Party_(United_States)</v>
      </c>
      <c r="S63" t="str">
        <f>IF(IFERROR(VLOOKUP($D63,party!$A:$D,4,0),"")="","",IFERROR(VLOOKUP($D63,party!$A:$D,4,0),""))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63">
        <f t="shared" si="1"/>
        <v>0.48299999999999998</v>
      </c>
      <c r="U63" t="str">
        <f t="shared" si="6"/>
        <v>25th</v>
      </c>
      <c r="V63" t="b">
        <v>0</v>
      </c>
      <c r="W63" t="s">
        <v>143</v>
      </c>
      <c r="X63" t="str">
        <f t="shared" si="2"/>
        <v/>
      </c>
      <c r="Y63" t="str">
        <f t="shared" si="3"/>
        <v>James G. Blaine</v>
      </c>
      <c r="Z63" t="str">
        <f t="shared" si="4"/>
        <v>https://en.wikipedia.org/wiki/1884_United_States_presidential_election</v>
      </c>
    </row>
    <row r="64" spans="1:27" s="7" customFormat="1" x14ac:dyDescent="0.25">
      <c r="A64">
        <v>26</v>
      </c>
      <c r="B64">
        <f>VLOOKUP(D64,party!A:E,5,0)</f>
        <v>26</v>
      </c>
      <c r="C64">
        <v>1888</v>
      </c>
      <c r="D64" s="14" t="s">
        <v>21</v>
      </c>
      <c r="E64"/>
      <c r="F64"/>
      <c r="G64" s="5">
        <v>5534488</v>
      </c>
      <c r="H64" s="33">
        <v>0.48599999999999999</v>
      </c>
      <c r="I64" s="47">
        <v>168</v>
      </c>
      <c r="J64" s="41"/>
      <c r="K64" s="41"/>
      <c r="L64" s="41"/>
      <c r="M64" s="41"/>
      <c r="N64" s="41"/>
      <c r="O64" s="41"/>
      <c r="P64" t="str">
        <f t="shared" si="5"/>
        <v>48.6%</v>
      </c>
      <c r="Q64" t="str">
        <f>IF(IFERROR(VLOOKUP($D64,party!$A:$D,2,0),"")="","",IFERROR(VLOOKUP($D64,party!$A:$D,2,0),""))</f>
        <v/>
      </c>
      <c r="R64" t="str">
        <f>IF(IFERROR(VLOOKUP($D64,party!$A:$D,3,0),"")="","",IFERROR(VLOOKUP($D64,party!$A:$D,3,0),""))</f>
        <v>https://en.wikipedia.org/wiki/Democratic_Party_(United_States)</v>
      </c>
      <c r="S64" t="str">
        <f>IF(IFERROR(VLOOKUP($D64,party!$A:$D,4,0),"")="","",IFERROR(VLOOKUP($D64,party!$A:$D,4,0),""))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64">
        <f t="shared" si="1"/>
        <v>0.48599999999999999</v>
      </c>
      <c r="U64" t="str">
        <f t="shared" si="6"/>
        <v>26th</v>
      </c>
      <c r="V64" t="b">
        <v>0</v>
      </c>
      <c r="W64" t="s">
        <v>45</v>
      </c>
      <c r="X64" t="str">
        <f t="shared" si="2"/>
        <v/>
      </c>
      <c r="Y64" t="str">
        <f t="shared" si="3"/>
        <v>Grover Cleveland</v>
      </c>
      <c r="Z64" t="str">
        <f t="shared" si="4"/>
        <v>https://en.wikipedia.org/wiki/1888_United_States_presidential_election</v>
      </c>
    </row>
    <row r="65" spans="1:26" s="7" customFormat="1" x14ac:dyDescent="0.25">
      <c r="A65">
        <v>26</v>
      </c>
      <c r="B65">
        <f>VLOOKUP(D65,party!A:E,5,0)</f>
        <v>17</v>
      </c>
      <c r="C65">
        <v>1888</v>
      </c>
      <c r="D65" s="10" t="s">
        <v>33</v>
      </c>
      <c r="E65" t="s">
        <v>46</v>
      </c>
      <c r="F65"/>
      <c r="G65" s="5">
        <v>5443892</v>
      </c>
      <c r="H65" s="33">
        <v>0.47799999999999998</v>
      </c>
      <c r="I65" s="42">
        <v>233</v>
      </c>
      <c r="J65" s="41"/>
      <c r="K65" s="41"/>
      <c r="L65" s="41"/>
      <c r="M65" s="41"/>
      <c r="N65" s="41"/>
      <c r="O65" s="41"/>
      <c r="P65" t="str">
        <f t="shared" si="5"/>
        <v>47.8%</v>
      </c>
      <c r="Q65" t="str">
        <f>IF(IFERROR(VLOOKUP($D65,party!$A:$D,2,0),"")="","",IFERROR(VLOOKUP($D65,party!$A:$D,2,0),""))</f>
        <v/>
      </c>
      <c r="R65" t="str">
        <f>IF(IFERROR(VLOOKUP($D65,party!$A:$D,3,0),"")="","",IFERROR(VLOOKUP($D65,party!$A:$D,3,0),""))</f>
        <v>https://en.wikipedia.org/wiki/Republican_Party_(United_States)</v>
      </c>
      <c r="S65" t="str">
        <f>IF(IFERROR(VLOOKUP($D65,party!$A:$D,4,0),"")="","",IFERROR(VLOOKUP($D65,party!$A:$D,4,0),""))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65">
        <f t="shared" si="1"/>
        <v>0.47799999999999998</v>
      </c>
      <c r="U65" t="str">
        <f t="shared" si="6"/>
        <v>26th</v>
      </c>
      <c r="V65" t="b">
        <v>1</v>
      </c>
      <c r="W65" t="s">
        <v>171</v>
      </c>
      <c r="X65" t="str">
        <f t="shared" si="2"/>
        <v/>
      </c>
      <c r="Y65" t="str">
        <f t="shared" si="3"/>
        <v/>
      </c>
      <c r="Z65" t="str">
        <f t="shared" si="4"/>
        <v>https://en.wikipedia.org/wiki/1888_United_States_presidential_election</v>
      </c>
    </row>
    <row r="66" spans="1:26" s="7" customFormat="1" x14ac:dyDescent="0.25">
      <c r="A66">
        <v>27</v>
      </c>
      <c r="B66">
        <f>VLOOKUP(D66,party!A:E,5,0)</f>
        <v>26</v>
      </c>
      <c r="C66">
        <v>1892</v>
      </c>
      <c r="D66" s="14" t="s">
        <v>21</v>
      </c>
      <c r="E66" t="s">
        <v>45</v>
      </c>
      <c r="F66"/>
      <c r="G66" s="5">
        <v>5553898</v>
      </c>
      <c r="H66" s="33">
        <v>0.46</v>
      </c>
      <c r="I66" s="42">
        <v>277</v>
      </c>
      <c r="J66" s="41"/>
      <c r="K66" s="41"/>
      <c r="L66" s="41"/>
      <c r="M66" s="41"/>
      <c r="N66" s="41"/>
      <c r="O66" s="41"/>
      <c r="P66" t="str">
        <f t="shared" si="5"/>
        <v>46.0%</v>
      </c>
      <c r="Q66" t="str">
        <f>IF(IFERROR(VLOOKUP($D66,party!$A:$D,2,0),"")="","",IFERROR(VLOOKUP($D66,party!$A:$D,2,0),""))</f>
        <v/>
      </c>
      <c r="R66" t="str">
        <f>IF(IFERROR(VLOOKUP($D66,party!$A:$D,3,0),"")="","",IFERROR(VLOOKUP($D66,party!$A:$D,3,0),""))</f>
        <v>https://en.wikipedia.org/wiki/Democratic_Party_(United_States)</v>
      </c>
      <c r="S66" t="str">
        <f>IF(IFERROR(VLOOKUP($D66,party!$A:$D,4,0),"")="","",IFERROR(VLOOKUP($D66,party!$A:$D,4,0),""))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66">
        <f t="shared" si="1"/>
        <v>0.46</v>
      </c>
      <c r="U66" t="str">
        <f t="shared" ref="U66:U97" si="7">_xlfn.CONCAT(TEXT(A66,"#"), IF(AND(A66&gt;=10, A66&lt;=19), "th", IF(MOD(A66,10) = 1, "st", IF(MOD(A66,10) = 2, "nd", IF(MOD(A66,10) = 3, "rd", "th")))))</f>
        <v>27th</v>
      </c>
      <c r="V66" t="b">
        <v>1</v>
      </c>
      <c r="W66" t="s">
        <v>171</v>
      </c>
      <c r="X66" t="str">
        <f t="shared" si="2"/>
        <v/>
      </c>
      <c r="Y66" t="str">
        <f t="shared" si="3"/>
        <v/>
      </c>
      <c r="Z66" t="str">
        <f t="shared" si="4"/>
        <v>https://en.wikipedia.org/wiki/1892_United_States_presidential_election</v>
      </c>
    </row>
    <row r="67" spans="1:26" s="7" customFormat="1" x14ac:dyDescent="0.25">
      <c r="A67">
        <v>27</v>
      </c>
      <c r="B67">
        <f>VLOOKUP(D67,party!A:E,5,0)</f>
        <v>17</v>
      </c>
      <c r="C67">
        <v>1892</v>
      </c>
      <c r="D67" s="10" t="s">
        <v>33</v>
      </c>
      <c r="E67"/>
      <c r="F67"/>
      <c r="G67" s="5">
        <v>5190819</v>
      </c>
      <c r="H67" s="33">
        <v>0.43</v>
      </c>
      <c r="I67" s="42">
        <v>145</v>
      </c>
      <c r="J67" s="41"/>
      <c r="K67" s="41"/>
      <c r="L67" s="41"/>
      <c r="M67" s="41"/>
      <c r="N67" s="41"/>
      <c r="O67" s="41"/>
      <c r="P67" t="str">
        <f t="shared" ref="P67:P130" si="8">TEXT(H67,"0.0%")</f>
        <v>43.0%</v>
      </c>
      <c r="Q67" t="str">
        <f>IF(IFERROR(VLOOKUP($D67,party!$A:$D,2,0),"")="","",IFERROR(VLOOKUP($D67,party!$A:$D,2,0),""))</f>
        <v/>
      </c>
      <c r="R67" t="str">
        <f>IF(IFERROR(VLOOKUP($D67,party!$A:$D,3,0),"")="","",IFERROR(VLOOKUP($D67,party!$A:$D,3,0),""))</f>
        <v>https://en.wikipedia.org/wiki/Republican_Party_(United_States)</v>
      </c>
      <c r="S67" t="str">
        <f>IF(IFERROR(VLOOKUP($D67,party!$A:$D,4,0),"")="","",IFERROR(VLOOKUP($D67,party!$A:$D,4,0),""))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67">
        <f t="shared" ref="T67:T130" si="9">IF(H67="", "", VALUE(H67))</f>
        <v>0.43</v>
      </c>
      <c r="U67" t="str">
        <f t="shared" si="7"/>
        <v>27th</v>
      </c>
      <c r="V67" t="b">
        <v>0</v>
      </c>
      <c r="W67" t="s">
        <v>46</v>
      </c>
      <c r="X67" t="str">
        <f t="shared" ref="X67:X79" si="10">IF(V67, W67, "")</f>
        <v/>
      </c>
      <c r="Y67" t="str">
        <f t="shared" ref="Y67:Y130" si="11">IF(NOT(V67), W67, "")</f>
        <v>Benjamin Harrison</v>
      </c>
      <c r="Z67" t="str">
        <f t="shared" si="4"/>
        <v>https://en.wikipedia.org/wiki/1892_United_States_presidential_election</v>
      </c>
    </row>
    <row r="68" spans="1:26" s="7" customFormat="1" x14ac:dyDescent="0.25">
      <c r="A68">
        <v>27</v>
      </c>
      <c r="B68">
        <f>VLOOKUP(D68,party!A:E,5,0)</f>
        <v>29</v>
      </c>
      <c r="C68">
        <v>1892</v>
      </c>
      <c r="D68" t="s">
        <v>47</v>
      </c>
      <c r="E68"/>
      <c r="F68"/>
      <c r="G68" s="5">
        <v>1026595</v>
      </c>
      <c r="H68" s="33">
        <v>8.5000000000000006E-2</v>
      </c>
      <c r="I68" s="42">
        <v>22</v>
      </c>
      <c r="J68" s="41"/>
      <c r="K68" s="41"/>
      <c r="L68" s="41"/>
      <c r="M68" s="41"/>
      <c r="N68" s="41"/>
      <c r="O68" s="41"/>
      <c r="P68" t="str">
        <f t="shared" si="8"/>
        <v>8.5%</v>
      </c>
      <c r="Q68" t="str">
        <f>IF(IFERROR(VLOOKUP($D68,party!$A:$D,2,0),"")="","",IFERROR(VLOOKUP($D68,party!$A:$D,2,0),""))</f>
        <v/>
      </c>
      <c r="R68" t="str">
        <f>IF(IFERROR(VLOOKUP($D68,party!$A:$D,3,0),"")="","",IFERROR(VLOOKUP($D68,party!$A:$D,3,0),""))</f>
        <v>https://en.wikipedia.org/wiki/People%27s_Party_(United_States)</v>
      </c>
      <c r="S68" t="str">
        <f>IF(IFERROR(VLOOKUP($D68,party!$A:$D,4,0),"")="","",IFERROR(VLOOKUP($D68,party!$A:$D,4,0),""))</f>
        <v>The People's Party, also known as the Populist Party or simply the Populists, was an agrarian populist political party in the United States in the late 19th century. The Populist Party emerged in the early 1890s as an important force in the Southern and Western United States, but declined rapidly after the 1896 United States presidential election in which most of its natural constituency was absorbed by the Bryan wing of the Democratic Party.</v>
      </c>
      <c r="T68">
        <f t="shared" si="9"/>
        <v>8.5000000000000006E-2</v>
      </c>
      <c r="U68" t="str">
        <f t="shared" si="7"/>
        <v>27th</v>
      </c>
      <c r="V68" t="b">
        <v>0</v>
      </c>
      <c r="W68" t="s">
        <v>144</v>
      </c>
      <c r="X68" t="str">
        <f t="shared" si="10"/>
        <v/>
      </c>
      <c r="Y68" t="str">
        <f t="shared" si="11"/>
        <v>James B. Weaver</v>
      </c>
      <c r="Z68" t="str">
        <f t="shared" si="4"/>
        <v>https://en.wikipedia.org/wiki/1892_United_States_presidential_election</v>
      </c>
    </row>
    <row r="69" spans="1:26" s="7" customFormat="1" x14ac:dyDescent="0.25">
      <c r="A69">
        <v>28</v>
      </c>
      <c r="B69">
        <f>VLOOKUP(D69,party!A:E,5,0)</f>
        <v>17</v>
      </c>
      <c r="C69">
        <v>1896</v>
      </c>
      <c r="D69" s="10" t="s">
        <v>33</v>
      </c>
      <c r="E69" t="s">
        <v>49</v>
      </c>
      <c r="F69"/>
      <c r="G69" s="5">
        <v>7111607</v>
      </c>
      <c r="H69" s="33">
        <v>0.51</v>
      </c>
      <c r="I69" s="42">
        <v>271</v>
      </c>
      <c r="J69" s="41"/>
      <c r="K69" s="41"/>
      <c r="L69" s="41"/>
      <c r="M69" s="41"/>
      <c r="N69" s="41"/>
      <c r="O69" s="41"/>
      <c r="P69" t="str">
        <f t="shared" si="8"/>
        <v>51.0%</v>
      </c>
      <c r="Q69" t="str">
        <f>IF(IFERROR(VLOOKUP($D69,party!$A:$D,2,0),"")="","",IFERROR(VLOOKUP($D69,party!$A:$D,2,0),""))</f>
        <v/>
      </c>
      <c r="R69" t="str">
        <f>IF(IFERROR(VLOOKUP($D69,party!$A:$D,3,0),"")="","",IFERROR(VLOOKUP($D69,party!$A:$D,3,0),""))</f>
        <v>https://en.wikipedia.org/wiki/Republican_Party_(United_States)</v>
      </c>
      <c r="S69" t="str">
        <f>IF(IFERROR(VLOOKUP($D69,party!$A:$D,4,0),"")="","",IFERROR(VLOOKUP($D69,party!$A:$D,4,0),""))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69">
        <f t="shared" si="9"/>
        <v>0.51</v>
      </c>
      <c r="U69" t="str">
        <f t="shared" si="7"/>
        <v>28th</v>
      </c>
      <c r="V69" t="b">
        <v>1</v>
      </c>
      <c r="W69" t="s">
        <v>171</v>
      </c>
      <c r="X69" t="str">
        <f t="shared" si="10"/>
        <v/>
      </c>
      <c r="Y69" t="str">
        <f t="shared" si="11"/>
        <v/>
      </c>
      <c r="Z69" t="str">
        <f t="shared" si="4"/>
        <v>https://en.wikipedia.org/wiki/1896_United_States_presidential_election</v>
      </c>
    </row>
    <row r="70" spans="1:26" s="7" customFormat="1" ht="23.25" x14ac:dyDescent="0.35">
      <c r="A70">
        <v>28</v>
      </c>
      <c r="B70">
        <f>VLOOKUP(D70,party!A:E,5,0)</f>
        <v>30</v>
      </c>
      <c r="C70">
        <v>1896</v>
      </c>
      <c r="D70" s="37" t="s">
        <v>48</v>
      </c>
      <c r="E70"/>
      <c r="F70"/>
      <c r="G70" s="6">
        <v>6509052</v>
      </c>
      <c r="H70" s="33">
        <v>0.46700000000000003</v>
      </c>
      <c r="I70" s="42">
        <v>176</v>
      </c>
      <c r="J70" s="41"/>
      <c r="K70" s="41"/>
      <c r="L70" s="41"/>
      <c r="M70" s="41"/>
      <c r="N70" s="41"/>
      <c r="O70" s="41"/>
      <c r="P70" t="str">
        <f t="shared" si="8"/>
        <v>46.7%</v>
      </c>
      <c r="Q70" t="str">
        <f>IF(IFERROR(VLOOKUP($D70,party!$A:$D,2,0),"")="","",IFERROR(VLOOKUP($D70,party!$A:$D,2,0),""))</f>
        <v>Not a party.</v>
      </c>
      <c r="R70" t="str">
        <f>IF(IFERROR(VLOOKUP($D70,party!$A:$D,3,0),"")="","",IFERROR(VLOOKUP($D70,party!$A:$D,3,0),""))</f>
        <v>https://en.wikipedia.org/wiki/1896_United_States_presidential_election</v>
      </c>
      <c r="S70" t="str">
        <f>IF(IFERROR(VLOOKUP($D70,party!$A:$D,4,0),"")="","",IFERROR(VLOOKUP($D70,party!$A:$D,4,0),""))</f>
        <v>The 1896 Democratic National Convention repudiated the Cleveland administration and nominated Bryan on the fifth presidential ballot. Bryan then won the nomination of the Populist Party, which had won several states in 1892 and shared many of Bryan's policies.
While the Democrats and Populists both nominated Bryan, the two parties had different vice presidential running mates.</v>
      </c>
      <c r="T70">
        <f t="shared" si="9"/>
        <v>0.46700000000000003</v>
      </c>
      <c r="U70" t="str">
        <f t="shared" si="7"/>
        <v>28th</v>
      </c>
      <c r="V70" t="b">
        <v>0</v>
      </c>
      <c r="W70" t="s">
        <v>145</v>
      </c>
      <c r="X70" t="str">
        <f t="shared" si="10"/>
        <v/>
      </c>
      <c r="Y70" t="str">
        <f t="shared" si="11"/>
        <v>William Jennings Bryan</v>
      </c>
      <c r="Z70" t="str">
        <f t="shared" ref="Z70:Z133" si="12">_xlfn.CONCAT("https://en.wikipedia.org/wiki/", C70, "_United_States_presidential_election")</f>
        <v>https://en.wikipedia.org/wiki/1896_United_States_presidential_election</v>
      </c>
    </row>
    <row r="71" spans="1:26" s="7" customFormat="1" x14ac:dyDescent="0.25">
      <c r="A71">
        <v>29</v>
      </c>
      <c r="B71">
        <f>VLOOKUP(D71,party!A:E,5,0)</f>
        <v>26</v>
      </c>
      <c r="C71">
        <v>1900</v>
      </c>
      <c r="D71" s="14" t="s">
        <v>21</v>
      </c>
      <c r="F71"/>
      <c r="G71" s="5">
        <v>7228864</v>
      </c>
      <c r="H71" s="33">
        <v>0.51600000000000001</v>
      </c>
      <c r="I71" s="42">
        <v>292</v>
      </c>
      <c r="J71" s="41"/>
      <c r="K71" s="41"/>
      <c r="L71" s="41"/>
      <c r="M71" s="41"/>
      <c r="N71" s="41"/>
      <c r="O71" s="41"/>
      <c r="P71" t="str">
        <f t="shared" si="8"/>
        <v>51.6%</v>
      </c>
      <c r="Q71" t="str">
        <f>IF(IFERROR(VLOOKUP($D71,party!$A:$D,2,0),"")="","",IFERROR(VLOOKUP($D71,party!$A:$D,2,0),""))</f>
        <v/>
      </c>
      <c r="R71" t="str">
        <f>IF(IFERROR(VLOOKUP($D71,party!$A:$D,3,0),"")="","",IFERROR(VLOOKUP($D71,party!$A:$D,3,0),""))</f>
        <v>https://en.wikipedia.org/wiki/Democratic_Party_(United_States)</v>
      </c>
      <c r="S71" t="str">
        <f>IF(IFERROR(VLOOKUP($D71,party!$A:$D,4,0),"")="","",IFERROR(VLOOKUP($D71,party!$A:$D,4,0),""))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71">
        <f t="shared" si="9"/>
        <v>0.51600000000000001</v>
      </c>
      <c r="U71" t="str">
        <f t="shared" si="7"/>
        <v>29th</v>
      </c>
      <c r="V71" t="b">
        <v>0</v>
      </c>
      <c r="W71" t="s">
        <v>145</v>
      </c>
      <c r="X71" t="str">
        <f t="shared" si="10"/>
        <v/>
      </c>
      <c r="Y71" t="str">
        <f t="shared" si="11"/>
        <v>William Jennings Bryan</v>
      </c>
      <c r="Z71" t="str">
        <f t="shared" si="12"/>
        <v>https://en.wikipedia.org/wiki/1900_United_States_presidential_election</v>
      </c>
    </row>
    <row r="72" spans="1:26" s="7" customFormat="1" x14ac:dyDescent="0.25">
      <c r="A72">
        <v>29</v>
      </c>
      <c r="B72">
        <f>VLOOKUP(D72,party!A:E,5,0)</f>
        <v>17</v>
      </c>
      <c r="C72">
        <v>1900</v>
      </c>
      <c r="D72" s="10" t="s">
        <v>33</v>
      </c>
      <c r="E72" t="s">
        <v>49</v>
      </c>
      <c r="F72"/>
      <c r="G72" s="5">
        <v>6370932</v>
      </c>
      <c r="H72" s="33">
        <v>0.45500000000000002</v>
      </c>
      <c r="I72" s="47">
        <v>155</v>
      </c>
      <c r="J72" s="41"/>
      <c r="K72" s="41"/>
      <c r="L72" s="41"/>
      <c r="M72" s="41"/>
      <c r="N72" s="41"/>
      <c r="O72" s="41"/>
      <c r="P72" t="str">
        <f t="shared" si="8"/>
        <v>45.5%</v>
      </c>
      <c r="Q72" t="str">
        <f>IF(IFERROR(VLOOKUP($D72,party!$A:$D,2,0),"")="","",IFERROR(VLOOKUP($D72,party!$A:$D,2,0),""))</f>
        <v/>
      </c>
      <c r="R72" t="str">
        <f>IF(IFERROR(VLOOKUP($D72,party!$A:$D,3,0),"")="","",IFERROR(VLOOKUP($D72,party!$A:$D,3,0),""))</f>
        <v>https://en.wikipedia.org/wiki/Republican_Party_(United_States)</v>
      </c>
      <c r="S72" t="str">
        <f>IF(IFERROR(VLOOKUP($D72,party!$A:$D,4,0),"")="","",IFERROR(VLOOKUP($D72,party!$A:$D,4,0),""))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72">
        <f t="shared" si="9"/>
        <v>0.45500000000000002</v>
      </c>
      <c r="U72" t="str">
        <f t="shared" si="7"/>
        <v>29th</v>
      </c>
      <c r="V72" t="b">
        <v>1</v>
      </c>
      <c r="W72" t="s">
        <v>171</v>
      </c>
      <c r="X72" t="str">
        <f t="shared" si="10"/>
        <v/>
      </c>
      <c r="Y72" t="str">
        <f t="shared" si="11"/>
        <v/>
      </c>
      <c r="Z72" t="str">
        <f t="shared" si="12"/>
        <v>https://en.wikipedia.org/wiki/1900_United_States_presidential_election</v>
      </c>
    </row>
    <row r="73" spans="1:26" s="7" customFormat="1" x14ac:dyDescent="0.25">
      <c r="A73">
        <v>30</v>
      </c>
      <c r="B73">
        <f>VLOOKUP(D73,party!A:E,5,0)</f>
        <v>26</v>
      </c>
      <c r="C73">
        <v>1904</v>
      </c>
      <c r="D73" s="14" t="s">
        <v>21</v>
      </c>
      <c r="E73"/>
      <c r="F73"/>
      <c r="G73" s="5">
        <v>5083880</v>
      </c>
      <c r="H73" s="33">
        <v>0.376</v>
      </c>
      <c r="I73" s="42">
        <v>140</v>
      </c>
      <c r="J73" s="41"/>
      <c r="K73" s="41"/>
      <c r="L73" s="41"/>
      <c r="M73" s="41"/>
      <c r="N73" s="41"/>
      <c r="O73" s="41"/>
      <c r="P73" t="str">
        <f t="shared" si="8"/>
        <v>37.6%</v>
      </c>
      <c r="Q73" t="str">
        <f>IF(IFERROR(VLOOKUP($D73,party!$A:$D,2,0),"")="","",IFERROR(VLOOKUP($D73,party!$A:$D,2,0),""))</f>
        <v/>
      </c>
      <c r="R73" t="str">
        <f>IF(IFERROR(VLOOKUP($D73,party!$A:$D,3,0),"")="","",IFERROR(VLOOKUP($D73,party!$A:$D,3,0),""))</f>
        <v>https://en.wikipedia.org/wiki/Democratic_Party_(United_States)</v>
      </c>
      <c r="S73" t="str">
        <f>IF(IFERROR(VLOOKUP($D73,party!$A:$D,4,0),"")="","",IFERROR(VLOOKUP($D73,party!$A:$D,4,0),""))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73">
        <f t="shared" si="9"/>
        <v>0.376</v>
      </c>
      <c r="U73" t="str">
        <f t="shared" si="7"/>
        <v>30th</v>
      </c>
      <c r="V73" t="b">
        <v>0</v>
      </c>
      <c r="W73" t="s">
        <v>146</v>
      </c>
      <c r="X73" t="str">
        <f t="shared" si="10"/>
        <v/>
      </c>
      <c r="Y73" t="str">
        <f t="shared" si="11"/>
        <v>Alton B. Parker</v>
      </c>
      <c r="Z73" t="str">
        <f t="shared" si="12"/>
        <v>https://en.wikipedia.org/wiki/1904_United_States_presidential_election</v>
      </c>
    </row>
    <row r="74" spans="1:26" s="7" customFormat="1" x14ac:dyDescent="0.25">
      <c r="A74">
        <v>30</v>
      </c>
      <c r="B74">
        <f>VLOOKUP(D74,party!A:E,5,0)</f>
        <v>17</v>
      </c>
      <c r="C74">
        <v>1904</v>
      </c>
      <c r="D74" s="10" t="s">
        <v>33</v>
      </c>
      <c r="E74" t="s">
        <v>50</v>
      </c>
      <c r="F74"/>
      <c r="G74" s="5">
        <v>7630457</v>
      </c>
      <c r="H74" s="33">
        <v>0.56399999999999995</v>
      </c>
      <c r="I74" s="42">
        <v>336</v>
      </c>
      <c r="J74" s="41"/>
      <c r="K74" s="41"/>
      <c r="L74" s="41"/>
      <c r="M74" s="41"/>
      <c r="N74" s="41"/>
      <c r="O74" s="41"/>
      <c r="P74" t="str">
        <f t="shared" si="8"/>
        <v>56.4%</v>
      </c>
      <c r="Q74" t="str">
        <f>IF(IFERROR(VLOOKUP($D74,party!$A:$D,2,0),"")="","",IFERROR(VLOOKUP($D74,party!$A:$D,2,0),""))</f>
        <v/>
      </c>
      <c r="R74" t="str">
        <f>IF(IFERROR(VLOOKUP($D74,party!$A:$D,3,0),"")="","",IFERROR(VLOOKUP($D74,party!$A:$D,3,0),""))</f>
        <v>https://en.wikipedia.org/wiki/Republican_Party_(United_States)</v>
      </c>
      <c r="S74" t="str">
        <f>IF(IFERROR(VLOOKUP($D74,party!$A:$D,4,0),"")="","",IFERROR(VLOOKUP($D74,party!$A:$D,4,0),""))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74">
        <f t="shared" si="9"/>
        <v>0.56399999999999995</v>
      </c>
      <c r="U74" t="str">
        <f t="shared" si="7"/>
        <v>30th</v>
      </c>
      <c r="V74" t="b">
        <v>1</v>
      </c>
      <c r="W74" t="s">
        <v>171</v>
      </c>
      <c r="X74" t="str">
        <f t="shared" si="10"/>
        <v/>
      </c>
      <c r="Y74" t="str">
        <f t="shared" si="11"/>
        <v/>
      </c>
      <c r="Z74" t="str">
        <f t="shared" si="12"/>
        <v>https://en.wikipedia.org/wiki/1904_United_States_presidential_election</v>
      </c>
    </row>
    <row r="75" spans="1:26" s="7" customFormat="1" x14ac:dyDescent="0.25">
      <c r="A75">
        <v>31</v>
      </c>
      <c r="B75">
        <f>VLOOKUP(D75,party!A:E,5,0)</f>
        <v>26</v>
      </c>
      <c r="C75">
        <v>1908</v>
      </c>
      <c r="D75" s="14" t="s">
        <v>21</v>
      </c>
      <c r="E75"/>
      <c r="F75"/>
      <c r="G75" s="5">
        <v>6408979</v>
      </c>
      <c r="H75" s="33">
        <v>0.43</v>
      </c>
      <c r="I75" s="42">
        <v>162</v>
      </c>
      <c r="J75" s="41"/>
      <c r="K75" s="41"/>
      <c r="L75" s="41"/>
      <c r="M75" s="41"/>
      <c r="N75" s="41"/>
      <c r="O75" s="41"/>
      <c r="P75" t="str">
        <f t="shared" si="8"/>
        <v>43.0%</v>
      </c>
      <c r="Q75" t="str">
        <f>IF(IFERROR(VLOOKUP($D75,party!$A:$D,2,0),"")="","",IFERROR(VLOOKUP($D75,party!$A:$D,2,0),""))</f>
        <v/>
      </c>
      <c r="R75" t="str">
        <f>IF(IFERROR(VLOOKUP($D75,party!$A:$D,3,0),"")="","",IFERROR(VLOOKUP($D75,party!$A:$D,3,0),""))</f>
        <v>https://en.wikipedia.org/wiki/Democratic_Party_(United_States)</v>
      </c>
      <c r="S75" t="str">
        <f>IF(IFERROR(VLOOKUP($D75,party!$A:$D,4,0),"")="","",IFERROR(VLOOKUP($D75,party!$A:$D,4,0),""))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75">
        <f t="shared" si="9"/>
        <v>0.43</v>
      </c>
      <c r="U75" t="str">
        <f t="shared" si="7"/>
        <v>31st</v>
      </c>
      <c r="V75" t="b">
        <v>0</v>
      </c>
      <c r="W75" t="s">
        <v>145</v>
      </c>
      <c r="X75" t="str">
        <f t="shared" si="10"/>
        <v/>
      </c>
      <c r="Y75" t="str">
        <f t="shared" si="11"/>
        <v>William Jennings Bryan</v>
      </c>
      <c r="Z75" t="str">
        <f t="shared" si="12"/>
        <v>https://en.wikipedia.org/wiki/1908_United_States_presidential_election</v>
      </c>
    </row>
    <row r="76" spans="1:26" s="7" customFormat="1" x14ac:dyDescent="0.25">
      <c r="A76">
        <v>31</v>
      </c>
      <c r="B76">
        <f>VLOOKUP(D76,party!A:E,5,0)</f>
        <v>17</v>
      </c>
      <c r="C76">
        <v>1908</v>
      </c>
      <c r="D76" s="10" t="s">
        <v>33</v>
      </c>
      <c r="E76" t="s">
        <v>51</v>
      </c>
      <c r="F76"/>
      <c r="G76" s="5">
        <v>7678335</v>
      </c>
      <c r="H76" s="33">
        <v>0.51600000000000001</v>
      </c>
      <c r="I76" s="47">
        <v>321</v>
      </c>
      <c r="J76" s="41"/>
      <c r="K76" s="41"/>
      <c r="L76" s="41"/>
      <c r="M76" s="41"/>
      <c r="N76" s="41"/>
      <c r="O76" s="41"/>
      <c r="P76" t="str">
        <f t="shared" si="8"/>
        <v>51.6%</v>
      </c>
      <c r="Q76" t="str">
        <f>IF(IFERROR(VLOOKUP($D76,party!$A:$D,2,0),"")="","",IFERROR(VLOOKUP($D76,party!$A:$D,2,0),""))</f>
        <v/>
      </c>
      <c r="R76" t="str">
        <f>IF(IFERROR(VLOOKUP($D76,party!$A:$D,3,0),"")="","",IFERROR(VLOOKUP($D76,party!$A:$D,3,0),""))</f>
        <v>https://en.wikipedia.org/wiki/Republican_Party_(United_States)</v>
      </c>
      <c r="S76" t="str">
        <f>IF(IFERROR(VLOOKUP($D76,party!$A:$D,4,0),"")="","",IFERROR(VLOOKUP($D76,party!$A:$D,4,0),""))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76">
        <f t="shared" si="9"/>
        <v>0.51600000000000001</v>
      </c>
      <c r="U76" t="str">
        <f t="shared" si="7"/>
        <v>31st</v>
      </c>
      <c r="V76" t="b">
        <v>1</v>
      </c>
      <c r="W76" t="s">
        <v>171</v>
      </c>
      <c r="X76" t="str">
        <f t="shared" si="10"/>
        <v/>
      </c>
      <c r="Y76" t="str">
        <f t="shared" si="11"/>
        <v/>
      </c>
      <c r="Z76" t="str">
        <f t="shared" si="12"/>
        <v>https://en.wikipedia.org/wiki/1908_United_States_presidential_election</v>
      </c>
    </row>
    <row r="77" spans="1:26" s="7" customFormat="1" x14ac:dyDescent="0.25">
      <c r="A77">
        <v>32</v>
      </c>
      <c r="B77">
        <f>VLOOKUP(D77,party!A:E,5,0)</f>
        <v>26</v>
      </c>
      <c r="C77">
        <v>1912</v>
      </c>
      <c r="D77" s="14" t="s">
        <v>21</v>
      </c>
      <c r="E77" t="s">
        <v>54</v>
      </c>
      <c r="F77"/>
      <c r="G77" s="5">
        <v>6296284</v>
      </c>
      <c r="H77" s="33">
        <v>0.41799999999999998</v>
      </c>
      <c r="I77" s="42">
        <v>435</v>
      </c>
      <c r="J77" s="41"/>
      <c r="K77" s="41"/>
      <c r="L77" s="41"/>
      <c r="M77" s="41"/>
      <c r="N77" s="41"/>
      <c r="O77" s="41"/>
      <c r="P77" t="str">
        <f t="shared" si="8"/>
        <v>41.8%</v>
      </c>
      <c r="Q77" t="str">
        <f>IF(IFERROR(VLOOKUP($D77,party!$A:$D,2,0),"")="","",IFERROR(VLOOKUP($D77,party!$A:$D,2,0),""))</f>
        <v/>
      </c>
      <c r="R77" t="str">
        <f>IF(IFERROR(VLOOKUP($D77,party!$A:$D,3,0),"")="","",IFERROR(VLOOKUP($D77,party!$A:$D,3,0),""))</f>
        <v>https://en.wikipedia.org/wiki/Democratic_Party_(United_States)</v>
      </c>
      <c r="S77" t="str">
        <f>IF(IFERROR(VLOOKUP($D77,party!$A:$D,4,0),"")="","",IFERROR(VLOOKUP($D77,party!$A:$D,4,0),""))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77">
        <f t="shared" si="9"/>
        <v>0.41799999999999998</v>
      </c>
      <c r="U77" t="str">
        <f t="shared" si="7"/>
        <v>32nd</v>
      </c>
      <c r="V77" t="b">
        <v>1</v>
      </c>
      <c r="W77" t="s">
        <v>171</v>
      </c>
      <c r="X77" t="str">
        <f t="shared" si="10"/>
        <v/>
      </c>
      <c r="Y77" t="str">
        <f t="shared" si="11"/>
        <v/>
      </c>
      <c r="Z77" t="str">
        <f t="shared" si="12"/>
        <v>https://en.wikipedia.org/wiki/1912_United_States_presidential_election</v>
      </c>
    </row>
    <row r="78" spans="1:26" s="7" customFormat="1" x14ac:dyDescent="0.25">
      <c r="A78">
        <v>32</v>
      </c>
      <c r="B78">
        <f>VLOOKUP(D78,party!A:E,5,0)</f>
        <v>17</v>
      </c>
      <c r="C78">
        <v>1912</v>
      </c>
      <c r="D78" s="10" t="s">
        <v>33</v>
      </c>
      <c r="E78"/>
      <c r="F78"/>
      <c r="G78" s="5">
        <v>3486242</v>
      </c>
      <c r="H78" s="33">
        <v>0.23200000000000001</v>
      </c>
      <c r="I78" s="42">
        <v>8</v>
      </c>
      <c r="J78" s="41"/>
      <c r="K78" s="41"/>
      <c r="L78" s="41"/>
      <c r="M78" s="41"/>
      <c r="N78" s="41"/>
      <c r="O78" s="41"/>
      <c r="P78" t="str">
        <f t="shared" si="8"/>
        <v>23.2%</v>
      </c>
      <c r="Q78" t="str">
        <f>IF(IFERROR(VLOOKUP($D78,party!$A:$D,2,0),"")="","",IFERROR(VLOOKUP($D78,party!$A:$D,2,0),""))</f>
        <v/>
      </c>
      <c r="R78" t="str">
        <f>IF(IFERROR(VLOOKUP($D78,party!$A:$D,3,0),"")="","",IFERROR(VLOOKUP($D78,party!$A:$D,3,0),""))</f>
        <v>https://en.wikipedia.org/wiki/Republican_Party_(United_States)</v>
      </c>
      <c r="S78" t="str">
        <f>IF(IFERROR(VLOOKUP($D78,party!$A:$D,4,0),"")="","",IFERROR(VLOOKUP($D78,party!$A:$D,4,0),""))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78">
        <f t="shared" si="9"/>
        <v>0.23200000000000001</v>
      </c>
      <c r="U78" t="str">
        <f t="shared" si="7"/>
        <v>32nd</v>
      </c>
      <c r="V78" t="b">
        <v>0</v>
      </c>
      <c r="W78" t="s">
        <v>51</v>
      </c>
      <c r="X78" t="str">
        <f t="shared" si="10"/>
        <v/>
      </c>
      <c r="Y78" t="str">
        <f t="shared" si="11"/>
        <v>William Howard Taft</v>
      </c>
      <c r="Z78" t="str">
        <f t="shared" si="12"/>
        <v>https://en.wikipedia.org/wiki/1912_United_States_presidential_election</v>
      </c>
    </row>
    <row r="79" spans="1:26" s="7" customFormat="1" x14ac:dyDescent="0.25">
      <c r="A79">
        <v>32</v>
      </c>
      <c r="B79">
        <f>VLOOKUP(D79,party!A:E,5,0)</f>
        <v>20</v>
      </c>
      <c r="C79">
        <v>1912</v>
      </c>
      <c r="D79" t="s">
        <v>109</v>
      </c>
      <c r="E79"/>
      <c r="F79"/>
      <c r="G79" s="5">
        <v>4122721</v>
      </c>
      <c r="H79" s="33">
        <v>0.27400000000000002</v>
      </c>
      <c r="I79" s="42">
        <v>88</v>
      </c>
      <c r="J79" s="41"/>
      <c r="K79" s="41"/>
      <c r="L79" s="41"/>
      <c r="M79" s="41"/>
      <c r="N79" s="41"/>
      <c r="O79" s="41"/>
      <c r="P79" t="str">
        <f t="shared" si="8"/>
        <v>27.4%</v>
      </c>
      <c r="Q79" t="str">
        <f>IF(IFERROR(VLOOKUP($D79,party!$A:$D,2,0),"")="","",IFERROR(VLOOKUP($D79,party!$A:$D,2,0),""))</f>
        <v/>
      </c>
      <c r="R79" t="str">
        <f>IF(IFERROR(VLOOKUP($D79,party!$A:$D,3,0),"")="","",IFERROR(VLOOKUP($D79,party!$A:$D,3,0),""))</f>
        <v>https://en.wikipedia.org/wiki/Bull_Moose_Party</v>
      </c>
      <c r="S79" t="str">
        <f>IF(IFERROR(VLOOKUP($D79,party!$A:$D,4,0),"")="","",IFERROR(VLOOKUP($D79,party!$A:$D,4,0),""))</f>
        <v>The Progressive Party, popularly nicknamed the Bull Moose Party, was a third party in the United States formed in 1912 by former president Theodore Roosevelt after he lost the presidential nomination of the Republican Party to his former protégé turned rival, incumbent president William Howard Taft. The new party was known for taking advanced positions on progressive reforms and attracting leading national reformers. The party was also ideologically deeply connected with America's radical-liberal tradition.
After the party's defeat in the 1912 United States presidential election, it went into rapid decline in elections until 1918, disappearing by 1920. The "Bull Moose" nickname originated when Roosevelt boasted that he felt "strong as a bull moose" after losing the Republican nomination in June 1912 at the Chicago convention.</v>
      </c>
      <c r="T79">
        <f t="shared" si="9"/>
        <v>0.27400000000000002</v>
      </c>
      <c r="U79" t="str">
        <f t="shared" si="7"/>
        <v>32nd</v>
      </c>
      <c r="V79" t="b">
        <v>0</v>
      </c>
      <c r="W79" t="s">
        <v>50</v>
      </c>
      <c r="X79" t="str">
        <f t="shared" si="10"/>
        <v/>
      </c>
      <c r="Y79" t="str">
        <f t="shared" si="11"/>
        <v>Theodore Roosevelt</v>
      </c>
      <c r="Z79" t="str">
        <f t="shared" si="12"/>
        <v>https://en.wikipedia.org/wiki/1912_United_States_presidential_election</v>
      </c>
    </row>
    <row r="80" spans="1:26" s="7" customFormat="1" x14ac:dyDescent="0.25">
      <c r="A80">
        <v>32</v>
      </c>
      <c r="B80">
        <f>VLOOKUP(D80,party!A:E,5,0)</f>
        <v>5</v>
      </c>
      <c r="C80">
        <v>1912</v>
      </c>
      <c r="D80" t="s">
        <v>53</v>
      </c>
      <c r="E80"/>
      <c r="F80"/>
      <c r="G80" s="5">
        <v>901551</v>
      </c>
      <c r="H80" s="33">
        <v>0.06</v>
      </c>
      <c r="I80" s="42">
        <v>0</v>
      </c>
      <c r="J80" s="41"/>
      <c r="K80" s="41"/>
      <c r="L80" s="41"/>
      <c r="M80" s="41"/>
      <c r="N80" s="41"/>
      <c r="O80" s="41"/>
      <c r="P80" t="str">
        <f t="shared" si="8"/>
        <v>6.0%</v>
      </c>
      <c r="Q80" t="str">
        <f>IF(IFERROR(VLOOKUP($D80,party!$A:$D,2,0),"")="","",IFERROR(VLOOKUP($D80,party!$A:$D,2,0),""))</f>
        <v/>
      </c>
      <c r="R80" t="str">
        <f>IF(IFERROR(VLOOKUP($D80,party!$A:$D,3,0),"")="","",IFERROR(VLOOKUP($D80,party!$A:$D,3,0),""))</f>
        <v>https://en.wikipedia.org/wiki/Socialist_Party_of_America</v>
      </c>
      <c r="S80" t="str">
        <f>IF(IFERROR(VLOOKUP($D80,party!$A:$D,4,0),"")="","",IFERROR(VLOOKUP($D80,party!$A:$D,4,0),""))</f>
        <v>The Socialist Party of America (SPA) was a socialist political party in the United States formed in 1901 by a merger between the three-year-old Social Democratic Party of America and disaffected elements of the Socialist Labor Party of America who had split from the main organization in 1899.</v>
      </c>
      <c r="T80">
        <f t="shared" si="9"/>
        <v>0.06</v>
      </c>
      <c r="U80" t="str">
        <f t="shared" si="7"/>
        <v>32nd</v>
      </c>
      <c r="V80" t="b">
        <v>0</v>
      </c>
      <c r="W80" t="s">
        <v>147</v>
      </c>
      <c r="X80" t="str">
        <f t="shared" ref="X80:X130" si="13">IF(V80, W80, "")</f>
        <v/>
      </c>
      <c r="Y80" t="str">
        <f t="shared" si="11"/>
        <v>Eugene V. Debs</v>
      </c>
      <c r="Z80" t="str">
        <f t="shared" si="12"/>
        <v>https://en.wikipedia.org/wiki/1912_United_States_presidential_election</v>
      </c>
    </row>
    <row r="81" spans="1:26" s="7" customFormat="1" x14ac:dyDescent="0.25">
      <c r="A81">
        <v>33</v>
      </c>
      <c r="B81">
        <f>VLOOKUP(D81,party!A:E,5,0)</f>
        <v>26</v>
      </c>
      <c r="C81">
        <v>1916</v>
      </c>
      <c r="D81" s="14" t="s">
        <v>21</v>
      </c>
      <c r="E81" t="s">
        <v>54</v>
      </c>
      <c r="F81"/>
      <c r="G81" s="5">
        <v>9126868</v>
      </c>
      <c r="H81" s="33">
        <v>0.49199999999999999</v>
      </c>
      <c r="I81" s="42">
        <v>277</v>
      </c>
      <c r="J81" s="41"/>
      <c r="K81" s="41"/>
      <c r="L81" s="41"/>
      <c r="M81" s="41"/>
      <c r="N81" s="41"/>
      <c r="O81" s="41"/>
      <c r="P81" t="str">
        <f t="shared" si="8"/>
        <v>49.2%</v>
      </c>
      <c r="Q81" t="str">
        <f>IF(IFERROR(VLOOKUP($D81,party!$A:$D,2,0),"")="","",IFERROR(VLOOKUP($D81,party!$A:$D,2,0),""))</f>
        <v/>
      </c>
      <c r="R81" t="str">
        <f>IF(IFERROR(VLOOKUP($D81,party!$A:$D,3,0),"")="","",IFERROR(VLOOKUP($D81,party!$A:$D,3,0),""))</f>
        <v>https://en.wikipedia.org/wiki/Democratic_Party_(United_States)</v>
      </c>
      <c r="S81" t="str">
        <f>IF(IFERROR(VLOOKUP($D81,party!$A:$D,4,0),"")="","",IFERROR(VLOOKUP($D81,party!$A:$D,4,0),""))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81">
        <f t="shared" si="9"/>
        <v>0.49199999999999999</v>
      </c>
      <c r="U81" t="str">
        <f t="shared" si="7"/>
        <v>33rd</v>
      </c>
      <c r="V81" t="b">
        <v>1</v>
      </c>
      <c r="W81" t="s">
        <v>171</v>
      </c>
      <c r="X81" t="str">
        <f t="shared" si="13"/>
        <v/>
      </c>
      <c r="Y81" t="str">
        <f t="shared" si="11"/>
        <v/>
      </c>
      <c r="Z81" t="str">
        <f t="shared" si="12"/>
        <v>https://en.wikipedia.org/wiki/1916_United_States_presidential_election</v>
      </c>
    </row>
    <row r="82" spans="1:26" s="7" customFormat="1" x14ac:dyDescent="0.25">
      <c r="A82">
        <v>33</v>
      </c>
      <c r="B82">
        <f>VLOOKUP(D82,party!A:E,5,0)</f>
        <v>17</v>
      </c>
      <c r="C82">
        <v>1916</v>
      </c>
      <c r="D82" s="10" t="s">
        <v>33</v>
      </c>
      <c r="E82"/>
      <c r="F82"/>
      <c r="G82" s="5">
        <v>8548728</v>
      </c>
      <c r="H82" s="33">
        <v>0.46100000000000002</v>
      </c>
      <c r="I82" s="42">
        <v>254</v>
      </c>
      <c r="J82" s="41"/>
      <c r="K82" s="41"/>
      <c r="L82" s="41"/>
      <c r="M82" s="41"/>
      <c r="N82" s="41"/>
      <c r="O82" s="41"/>
      <c r="P82" t="str">
        <f t="shared" si="8"/>
        <v>46.1%</v>
      </c>
      <c r="Q82" t="str">
        <f>IF(IFERROR(VLOOKUP($D82,party!$A:$D,2,0),"")="","",IFERROR(VLOOKUP($D82,party!$A:$D,2,0),""))</f>
        <v/>
      </c>
      <c r="R82" t="str">
        <f>IF(IFERROR(VLOOKUP($D82,party!$A:$D,3,0),"")="","",IFERROR(VLOOKUP($D82,party!$A:$D,3,0),""))</f>
        <v>https://en.wikipedia.org/wiki/Republican_Party_(United_States)</v>
      </c>
      <c r="S82" t="str">
        <f>IF(IFERROR(VLOOKUP($D82,party!$A:$D,4,0),"")="","",IFERROR(VLOOKUP($D82,party!$A:$D,4,0),""))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82">
        <f t="shared" si="9"/>
        <v>0.46100000000000002</v>
      </c>
      <c r="U82" t="str">
        <f t="shared" si="7"/>
        <v>33rd</v>
      </c>
      <c r="V82" t="b">
        <v>0</v>
      </c>
      <c r="W82" t="s">
        <v>148</v>
      </c>
      <c r="X82" t="str">
        <f t="shared" si="13"/>
        <v/>
      </c>
      <c r="Y82" t="str">
        <f t="shared" si="11"/>
        <v>Charles Evans Hughes</v>
      </c>
      <c r="Z82" t="str">
        <f t="shared" si="12"/>
        <v>https://en.wikipedia.org/wiki/1916_United_States_presidential_election</v>
      </c>
    </row>
    <row r="83" spans="1:26" s="7" customFormat="1" x14ac:dyDescent="0.25">
      <c r="A83">
        <v>34</v>
      </c>
      <c r="B83">
        <f>VLOOKUP(D83,party!A:E,5,0)</f>
        <v>26</v>
      </c>
      <c r="C83">
        <v>1920</v>
      </c>
      <c r="D83" s="14" t="s">
        <v>21</v>
      </c>
      <c r="E83"/>
      <c r="F83"/>
      <c r="G83" s="5">
        <v>9139661</v>
      </c>
      <c r="H83" s="33">
        <v>0.34200000000000003</v>
      </c>
      <c r="I83" s="42">
        <v>127</v>
      </c>
      <c r="J83" s="41"/>
      <c r="K83" s="41"/>
      <c r="L83" s="41"/>
      <c r="M83" s="41"/>
      <c r="N83" s="41"/>
      <c r="O83" s="41"/>
      <c r="P83" t="str">
        <f t="shared" si="8"/>
        <v>34.2%</v>
      </c>
      <c r="Q83" t="str">
        <f>IF(IFERROR(VLOOKUP($D83,party!$A:$D,2,0),"")="","",IFERROR(VLOOKUP($D83,party!$A:$D,2,0),""))</f>
        <v/>
      </c>
      <c r="R83" t="str">
        <f>IF(IFERROR(VLOOKUP($D83,party!$A:$D,3,0),"")="","",IFERROR(VLOOKUP($D83,party!$A:$D,3,0),""))</f>
        <v>https://en.wikipedia.org/wiki/Democratic_Party_(United_States)</v>
      </c>
      <c r="S83" t="str">
        <f>IF(IFERROR(VLOOKUP($D83,party!$A:$D,4,0),"")="","",IFERROR(VLOOKUP($D83,party!$A:$D,4,0),""))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83">
        <f t="shared" si="9"/>
        <v>0.34200000000000003</v>
      </c>
      <c r="U83" t="str">
        <f t="shared" si="7"/>
        <v>34th</v>
      </c>
      <c r="V83" t="b">
        <v>0</v>
      </c>
      <c r="W83" t="s">
        <v>149</v>
      </c>
      <c r="X83" t="str">
        <f t="shared" si="13"/>
        <v/>
      </c>
      <c r="Y83" t="str">
        <f t="shared" si="11"/>
        <v>James M. Cox</v>
      </c>
      <c r="Z83" t="str">
        <f t="shared" si="12"/>
        <v>https://en.wikipedia.org/wiki/1920_United_States_presidential_election</v>
      </c>
    </row>
    <row r="84" spans="1:26" s="7" customFormat="1" x14ac:dyDescent="0.25">
      <c r="A84">
        <v>34</v>
      </c>
      <c r="B84">
        <f>VLOOKUP(D84,party!A:E,5,0)</f>
        <v>17</v>
      </c>
      <c r="C84">
        <v>1920</v>
      </c>
      <c r="D84" s="10" t="s">
        <v>33</v>
      </c>
      <c r="E84" t="s">
        <v>55</v>
      </c>
      <c r="F84"/>
      <c r="G84" s="5">
        <v>16144093</v>
      </c>
      <c r="H84" s="33">
        <v>0.60299999999999998</v>
      </c>
      <c r="I84" s="42">
        <v>404</v>
      </c>
      <c r="J84" s="41"/>
      <c r="K84" s="41"/>
      <c r="L84" s="41"/>
      <c r="M84" s="41"/>
      <c r="N84" s="41"/>
      <c r="O84" s="41"/>
      <c r="P84" t="str">
        <f t="shared" si="8"/>
        <v>60.3%</v>
      </c>
      <c r="Q84" t="str">
        <f>IF(IFERROR(VLOOKUP($D84,party!$A:$D,2,0),"")="","",IFERROR(VLOOKUP($D84,party!$A:$D,2,0),""))</f>
        <v/>
      </c>
      <c r="R84" t="str">
        <f>IF(IFERROR(VLOOKUP($D84,party!$A:$D,3,0),"")="","",IFERROR(VLOOKUP($D84,party!$A:$D,3,0),""))</f>
        <v>https://en.wikipedia.org/wiki/Republican_Party_(United_States)</v>
      </c>
      <c r="S84" t="str">
        <f>IF(IFERROR(VLOOKUP($D84,party!$A:$D,4,0),"")="","",IFERROR(VLOOKUP($D84,party!$A:$D,4,0),""))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84">
        <f t="shared" si="9"/>
        <v>0.60299999999999998</v>
      </c>
      <c r="U84" t="str">
        <f t="shared" si="7"/>
        <v>34th</v>
      </c>
      <c r="V84" t="b">
        <v>1</v>
      </c>
      <c r="W84" t="s">
        <v>171</v>
      </c>
      <c r="X84" t="str">
        <f t="shared" si="13"/>
        <v/>
      </c>
      <c r="Y84" t="str">
        <f t="shared" si="11"/>
        <v/>
      </c>
      <c r="Z84" t="str">
        <f t="shared" si="12"/>
        <v>https://en.wikipedia.org/wiki/1920_United_States_presidential_election</v>
      </c>
    </row>
    <row r="85" spans="1:26" s="7" customFormat="1" x14ac:dyDescent="0.25">
      <c r="A85">
        <v>35</v>
      </c>
      <c r="B85">
        <f>VLOOKUP(D85,party!A:E,5,0)</f>
        <v>26</v>
      </c>
      <c r="C85">
        <v>1924</v>
      </c>
      <c r="D85" s="14" t="s">
        <v>21</v>
      </c>
      <c r="E85"/>
      <c r="F85"/>
      <c r="G85" s="5">
        <v>8386242</v>
      </c>
      <c r="H85" s="33">
        <v>0.28799999999999998</v>
      </c>
      <c r="I85" s="42">
        <v>136</v>
      </c>
      <c r="J85" s="41"/>
      <c r="K85" s="41"/>
      <c r="L85" s="41"/>
      <c r="M85" s="41"/>
      <c r="N85" s="41"/>
      <c r="O85" s="41"/>
      <c r="P85" t="str">
        <f t="shared" si="8"/>
        <v>28.8%</v>
      </c>
      <c r="Q85" t="str">
        <f>IF(IFERROR(VLOOKUP($D85,party!$A:$D,2,0),"")="","",IFERROR(VLOOKUP($D85,party!$A:$D,2,0),""))</f>
        <v/>
      </c>
      <c r="R85" t="str">
        <f>IF(IFERROR(VLOOKUP($D85,party!$A:$D,3,0),"")="","",IFERROR(VLOOKUP($D85,party!$A:$D,3,0),""))</f>
        <v>https://en.wikipedia.org/wiki/Democratic_Party_(United_States)</v>
      </c>
      <c r="S85" t="str">
        <f>IF(IFERROR(VLOOKUP($D85,party!$A:$D,4,0),"")="","",IFERROR(VLOOKUP($D85,party!$A:$D,4,0),""))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85">
        <f t="shared" si="9"/>
        <v>0.28799999999999998</v>
      </c>
      <c r="U85" t="str">
        <f t="shared" si="7"/>
        <v>35th</v>
      </c>
      <c r="V85" t="b">
        <v>0</v>
      </c>
      <c r="W85" t="s">
        <v>150</v>
      </c>
      <c r="X85" t="str">
        <f t="shared" si="13"/>
        <v/>
      </c>
      <c r="Y85" t="str">
        <f t="shared" si="11"/>
        <v>John W. Davis</v>
      </c>
      <c r="Z85" t="str">
        <f t="shared" si="12"/>
        <v>https://en.wikipedia.org/wiki/1924_United_States_presidential_election</v>
      </c>
    </row>
    <row r="86" spans="1:26" s="7" customFormat="1" x14ac:dyDescent="0.25">
      <c r="A86">
        <v>35</v>
      </c>
      <c r="B86">
        <f>VLOOKUP(D86,party!A:E,5,0)</f>
        <v>17</v>
      </c>
      <c r="C86">
        <v>1924</v>
      </c>
      <c r="D86" s="10" t="s">
        <v>33</v>
      </c>
      <c r="E86" t="s">
        <v>56</v>
      </c>
      <c r="F86"/>
      <c r="G86" s="5">
        <v>15723789</v>
      </c>
      <c r="H86" s="33">
        <v>0.54</v>
      </c>
      <c r="I86" s="47">
        <v>382</v>
      </c>
      <c r="J86" s="41"/>
      <c r="K86" s="41"/>
      <c r="L86" s="41"/>
      <c r="M86" s="41"/>
      <c r="N86" s="41"/>
      <c r="O86" s="41"/>
      <c r="P86" t="str">
        <f t="shared" si="8"/>
        <v>54.0%</v>
      </c>
      <c r="Q86" t="str">
        <f>IF(IFERROR(VLOOKUP($D86,party!$A:$D,2,0),"")="","",IFERROR(VLOOKUP($D86,party!$A:$D,2,0),""))</f>
        <v/>
      </c>
      <c r="R86" t="str">
        <f>IF(IFERROR(VLOOKUP($D86,party!$A:$D,3,0),"")="","",IFERROR(VLOOKUP($D86,party!$A:$D,3,0),""))</f>
        <v>https://en.wikipedia.org/wiki/Republican_Party_(United_States)</v>
      </c>
      <c r="S86" t="str">
        <f>IF(IFERROR(VLOOKUP($D86,party!$A:$D,4,0),"")="","",IFERROR(VLOOKUP($D86,party!$A:$D,4,0),""))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86">
        <f t="shared" si="9"/>
        <v>0.54</v>
      </c>
      <c r="U86" t="str">
        <f t="shared" si="7"/>
        <v>35th</v>
      </c>
      <c r="V86" t="b">
        <v>1</v>
      </c>
      <c r="W86" t="s">
        <v>171</v>
      </c>
      <c r="X86" t="str">
        <f t="shared" si="13"/>
        <v/>
      </c>
      <c r="Y86" t="str">
        <f t="shared" si="11"/>
        <v/>
      </c>
      <c r="Z86" t="str">
        <f t="shared" si="12"/>
        <v>https://en.wikipedia.org/wiki/1924_United_States_presidential_election</v>
      </c>
    </row>
    <row r="87" spans="1:26" s="7" customFormat="1" x14ac:dyDescent="0.25">
      <c r="A87">
        <v>35</v>
      </c>
      <c r="B87">
        <f>VLOOKUP(D87,party!A:E,5,0)</f>
        <v>6</v>
      </c>
      <c r="C87">
        <v>1924</v>
      </c>
      <c r="D87" t="s">
        <v>52</v>
      </c>
      <c r="E87"/>
      <c r="F87"/>
      <c r="G87" s="5">
        <v>4831706</v>
      </c>
      <c r="H87" s="33">
        <v>0.16600000000000001</v>
      </c>
      <c r="I87" s="42">
        <v>13</v>
      </c>
      <c r="J87" s="41"/>
      <c r="K87" s="41"/>
      <c r="L87" s="41"/>
      <c r="M87" s="41"/>
      <c r="N87" s="41"/>
      <c r="O87" s="41"/>
      <c r="P87" t="str">
        <f t="shared" si="8"/>
        <v>16.6%</v>
      </c>
      <c r="Q87" t="str">
        <f>IF(IFERROR(VLOOKUP($D87,party!$A:$D,2,0),"")="","",IFERROR(VLOOKUP($D87,party!$A:$D,2,0),""))</f>
        <v/>
      </c>
      <c r="R87" t="str">
        <f>IF(IFERROR(VLOOKUP($D87,party!$A:$D,3,0),"")="","",IFERROR(VLOOKUP($D87,party!$A:$D,3,0),""))</f>
        <v>https://en.wikipedia.org/wiki/Progressive_Party_(United_States,_1924%E2%80%931934)</v>
      </c>
      <c r="S87" t="str">
        <f>IF(IFERROR(VLOOKUP($D87,party!$A:$D,4,0),"")="","",IFERROR(VLOOKUP($D87,party!$A:$D,4,0),""))</f>
        <v>The Progressive Party was a political party created as a vehicle for Robert M. La Follette, Sr. to run for president in the 1924 election. It did not run candidates for other offices, and it disappeared after the election. The party advocated progressive positions such as government ownership of railroads and electric utilities, cheap credit for farmers, the outlawing of child labor, stronger laws to help labor unions, more protection of civil liberties, an end to American imperialism in Latin America, and a referendum before any president could lead the nation into war.</v>
      </c>
      <c r="T87">
        <f t="shared" si="9"/>
        <v>0.16600000000000001</v>
      </c>
      <c r="U87" t="str">
        <f t="shared" si="7"/>
        <v>35th</v>
      </c>
      <c r="V87" t="b">
        <v>0</v>
      </c>
      <c r="W87" t="s">
        <v>151</v>
      </c>
      <c r="X87" t="str">
        <f t="shared" si="13"/>
        <v/>
      </c>
      <c r="Y87" t="str">
        <f t="shared" si="11"/>
        <v>Robert M. La Follette</v>
      </c>
      <c r="Z87" t="str">
        <f t="shared" si="12"/>
        <v>https://en.wikipedia.org/wiki/1924_United_States_presidential_election</v>
      </c>
    </row>
    <row r="88" spans="1:26" s="7" customFormat="1" x14ac:dyDescent="0.25">
      <c r="A88">
        <v>36</v>
      </c>
      <c r="B88">
        <f>VLOOKUP(D88,party!A:E,5,0)</f>
        <v>26</v>
      </c>
      <c r="C88">
        <v>1928</v>
      </c>
      <c r="D88" s="14" t="s">
        <v>21</v>
      </c>
      <c r="E88"/>
      <c r="F88"/>
      <c r="G88" s="5">
        <v>15015464</v>
      </c>
      <c r="H88" s="33">
        <v>0.40799999999999997</v>
      </c>
      <c r="I88" s="42">
        <v>87</v>
      </c>
      <c r="J88" s="41"/>
      <c r="K88" s="41"/>
      <c r="L88" s="41"/>
      <c r="M88" s="41"/>
      <c r="N88" s="41"/>
      <c r="O88" s="41"/>
      <c r="P88" t="str">
        <f t="shared" si="8"/>
        <v>40.8%</v>
      </c>
      <c r="Q88" t="str">
        <f>IF(IFERROR(VLOOKUP($D88,party!$A:$D,2,0),"")="","",IFERROR(VLOOKUP($D88,party!$A:$D,2,0),""))</f>
        <v/>
      </c>
      <c r="R88" t="str">
        <f>IF(IFERROR(VLOOKUP($D88,party!$A:$D,3,0),"")="","",IFERROR(VLOOKUP($D88,party!$A:$D,3,0),""))</f>
        <v>https://en.wikipedia.org/wiki/Democratic_Party_(United_States)</v>
      </c>
      <c r="S88" t="str">
        <f>IF(IFERROR(VLOOKUP($D88,party!$A:$D,4,0),"")="","",IFERROR(VLOOKUP($D88,party!$A:$D,4,0),""))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88">
        <f t="shared" si="9"/>
        <v>0.40799999999999997</v>
      </c>
      <c r="U88" t="str">
        <f t="shared" si="7"/>
        <v>36th</v>
      </c>
      <c r="V88" t="b">
        <v>0</v>
      </c>
      <c r="W88" t="s">
        <v>152</v>
      </c>
      <c r="X88" t="str">
        <f t="shared" si="13"/>
        <v/>
      </c>
      <c r="Y88" t="str">
        <f t="shared" si="11"/>
        <v>Al Smith</v>
      </c>
      <c r="Z88" t="str">
        <f t="shared" si="12"/>
        <v>https://en.wikipedia.org/wiki/1928_United_States_presidential_election</v>
      </c>
    </row>
    <row r="89" spans="1:26" s="7" customFormat="1" x14ac:dyDescent="0.25">
      <c r="A89">
        <v>36</v>
      </c>
      <c r="B89">
        <f>VLOOKUP(D89,party!A:E,5,0)</f>
        <v>17</v>
      </c>
      <c r="C89">
        <v>1928</v>
      </c>
      <c r="D89" s="10" t="s">
        <v>33</v>
      </c>
      <c r="E89" t="s">
        <v>57</v>
      </c>
      <c r="F89"/>
      <c r="G89" s="5">
        <v>21427123</v>
      </c>
      <c r="H89" s="33">
        <v>0.58199999999999996</v>
      </c>
      <c r="I89" s="42">
        <v>444</v>
      </c>
      <c r="J89" s="41"/>
      <c r="K89" s="41"/>
      <c r="L89" s="41"/>
      <c r="M89" s="41"/>
      <c r="N89" s="41"/>
      <c r="O89" s="41"/>
      <c r="P89" t="str">
        <f t="shared" si="8"/>
        <v>58.2%</v>
      </c>
      <c r="Q89" t="str">
        <f>IF(IFERROR(VLOOKUP($D89,party!$A:$D,2,0),"")="","",IFERROR(VLOOKUP($D89,party!$A:$D,2,0),""))</f>
        <v/>
      </c>
      <c r="R89" t="str">
        <f>IF(IFERROR(VLOOKUP($D89,party!$A:$D,3,0),"")="","",IFERROR(VLOOKUP($D89,party!$A:$D,3,0),""))</f>
        <v>https://en.wikipedia.org/wiki/Republican_Party_(United_States)</v>
      </c>
      <c r="S89" t="str">
        <f>IF(IFERROR(VLOOKUP($D89,party!$A:$D,4,0),"")="","",IFERROR(VLOOKUP($D89,party!$A:$D,4,0),""))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89">
        <f t="shared" si="9"/>
        <v>0.58199999999999996</v>
      </c>
      <c r="U89" t="str">
        <f t="shared" si="7"/>
        <v>36th</v>
      </c>
      <c r="V89" t="b">
        <v>1</v>
      </c>
      <c r="W89" t="s">
        <v>171</v>
      </c>
      <c r="X89" t="str">
        <f t="shared" si="13"/>
        <v/>
      </c>
      <c r="Y89" t="str">
        <f t="shared" si="11"/>
        <v/>
      </c>
      <c r="Z89" t="str">
        <f t="shared" si="12"/>
        <v>https://en.wikipedia.org/wiki/1928_United_States_presidential_election</v>
      </c>
    </row>
    <row r="90" spans="1:26" s="7" customFormat="1" x14ac:dyDescent="0.25">
      <c r="A90">
        <v>37</v>
      </c>
      <c r="B90">
        <f>VLOOKUP(D90,party!A:E,5,0)</f>
        <v>26</v>
      </c>
      <c r="C90">
        <v>1932</v>
      </c>
      <c r="D90" s="14" t="s">
        <v>21</v>
      </c>
      <c r="E90" t="s">
        <v>58</v>
      </c>
      <c r="F90"/>
      <c r="G90" s="5">
        <v>22821277</v>
      </c>
      <c r="H90" s="33">
        <v>0.57399999999999995</v>
      </c>
      <c r="I90" s="42">
        <v>472</v>
      </c>
      <c r="J90" s="41"/>
      <c r="K90" s="41"/>
      <c r="L90" s="41"/>
      <c r="M90" s="41"/>
      <c r="N90" s="41"/>
      <c r="O90" s="41"/>
      <c r="P90" t="str">
        <f t="shared" si="8"/>
        <v>57.4%</v>
      </c>
      <c r="Q90" t="str">
        <f>IF(IFERROR(VLOOKUP($D90,party!$A:$D,2,0),"")="","",IFERROR(VLOOKUP($D90,party!$A:$D,2,0),""))</f>
        <v/>
      </c>
      <c r="R90" t="str">
        <f>IF(IFERROR(VLOOKUP($D90,party!$A:$D,3,0),"")="","",IFERROR(VLOOKUP($D90,party!$A:$D,3,0),""))</f>
        <v>https://en.wikipedia.org/wiki/Democratic_Party_(United_States)</v>
      </c>
      <c r="S90" t="str">
        <f>IF(IFERROR(VLOOKUP($D90,party!$A:$D,4,0),"")="","",IFERROR(VLOOKUP($D90,party!$A:$D,4,0),""))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90">
        <f t="shared" si="9"/>
        <v>0.57399999999999995</v>
      </c>
      <c r="U90" t="str">
        <f t="shared" si="7"/>
        <v>37th</v>
      </c>
      <c r="V90" t="b">
        <v>1</v>
      </c>
      <c r="W90" t="s">
        <v>171</v>
      </c>
      <c r="X90" t="str">
        <f t="shared" si="13"/>
        <v/>
      </c>
      <c r="Y90" t="str">
        <f t="shared" si="11"/>
        <v/>
      </c>
      <c r="Z90" t="str">
        <f t="shared" si="12"/>
        <v>https://en.wikipedia.org/wiki/1932_United_States_presidential_election</v>
      </c>
    </row>
    <row r="91" spans="1:26" s="7" customFormat="1" x14ac:dyDescent="0.25">
      <c r="A91">
        <v>37</v>
      </c>
      <c r="B91">
        <f>VLOOKUP(D91,party!A:E,5,0)</f>
        <v>17</v>
      </c>
      <c r="C91">
        <v>1932</v>
      </c>
      <c r="D91" s="10" t="s">
        <v>33</v>
      </c>
      <c r="E91"/>
      <c r="F91"/>
      <c r="G91" s="5">
        <v>15761254</v>
      </c>
      <c r="H91" s="33">
        <v>0.39700000000000002</v>
      </c>
      <c r="I91" s="42">
        <v>59</v>
      </c>
      <c r="J91" s="41"/>
      <c r="K91" s="41"/>
      <c r="L91" s="41"/>
      <c r="M91" s="41"/>
      <c r="N91" s="41"/>
      <c r="O91" s="41"/>
      <c r="P91" t="str">
        <f t="shared" si="8"/>
        <v>39.7%</v>
      </c>
      <c r="Q91" t="str">
        <f>IF(IFERROR(VLOOKUP($D91,party!$A:$D,2,0),"")="","",IFERROR(VLOOKUP($D91,party!$A:$D,2,0),""))</f>
        <v/>
      </c>
      <c r="R91" t="str">
        <f>IF(IFERROR(VLOOKUP($D91,party!$A:$D,3,0),"")="","",IFERROR(VLOOKUP($D91,party!$A:$D,3,0),""))</f>
        <v>https://en.wikipedia.org/wiki/Republican_Party_(United_States)</v>
      </c>
      <c r="S91" t="str">
        <f>IF(IFERROR(VLOOKUP($D91,party!$A:$D,4,0),"")="","",IFERROR(VLOOKUP($D91,party!$A:$D,4,0),""))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91">
        <f t="shared" si="9"/>
        <v>0.39700000000000002</v>
      </c>
      <c r="U91" t="str">
        <f t="shared" si="7"/>
        <v>37th</v>
      </c>
      <c r="V91" t="b">
        <v>0</v>
      </c>
      <c r="W91" t="s">
        <v>57</v>
      </c>
      <c r="X91" t="str">
        <f t="shared" si="13"/>
        <v/>
      </c>
      <c r="Y91" t="str">
        <f t="shared" si="11"/>
        <v>Herbert Hoover</v>
      </c>
      <c r="Z91" t="str">
        <f t="shared" si="12"/>
        <v>https://en.wikipedia.org/wiki/1932_United_States_presidential_election</v>
      </c>
    </row>
    <row r="92" spans="1:26" s="7" customFormat="1" x14ac:dyDescent="0.25">
      <c r="A92">
        <v>38</v>
      </c>
      <c r="B92">
        <f>VLOOKUP(D92,party!A:E,5,0)</f>
        <v>26</v>
      </c>
      <c r="C92">
        <v>1936</v>
      </c>
      <c r="D92" s="14" t="s">
        <v>21</v>
      </c>
      <c r="E92" t="s">
        <v>58</v>
      </c>
      <c r="F92"/>
      <c r="G92" s="5">
        <v>27752648</v>
      </c>
      <c r="H92" s="33">
        <v>0.60799999999999998</v>
      </c>
      <c r="I92" s="42">
        <v>523</v>
      </c>
      <c r="J92" s="41"/>
      <c r="K92" s="41"/>
      <c r="L92" s="41"/>
      <c r="M92" s="41"/>
      <c r="N92" s="41"/>
      <c r="O92" s="41"/>
      <c r="P92" t="str">
        <f t="shared" si="8"/>
        <v>60.8%</v>
      </c>
      <c r="Q92" t="str">
        <f>IF(IFERROR(VLOOKUP($D92,party!$A:$D,2,0),"")="","",IFERROR(VLOOKUP($D92,party!$A:$D,2,0),""))</f>
        <v/>
      </c>
      <c r="R92" t="str">
        <f>IF(IFERROR(VLOOKUP($D92,party!$A:$D,3,0),"")="","",IFERROR(VLOOKUP($D92,party!$A:$D,3,0),""))</f>
        <v>https://en.wikipedia.org/wiki/Democratic_Party_(United_States)</v>
      </c>
      <c r="S92" t="str">
        <f>IF(IFERROR(VLOOKUP($D92,party!$A:$D,4,0),"")="","",IFERROR(VLOOKUP($D92,party!$A:$D,4,0),""))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92">
        <f t="shared" si="9"/>
        <v>0.60799999999999998</v>
      </c>
      <c r="U92" t="str">
        <f t="shared" si="7"/>
        <v>38th</v>
      </c>
      <c r="V92" t="b">
        <v>1</v>
      </c>
      <c r="W92" t="s">
        <v>171</v>
      </c>
      <c r="X92" t="str">
        <f t="shared" si="13"/>
        <v/>
      </c>
      <c r="Y92" t="str">
        <f t="shared" si="11"/>
        <v/>
      </c>
      <c r="Z92" t="str">
        <f t="shared" si="12"/>
        <v>https://en.wikipedia.org/wiki/1936_United_States_presidential_election</v>
      </c>
    </row>
    <row r="93" spans="1:26" s="7" customFormat="1" x14ac:dyDescent="0.25">
      <c r="A93">
        <v>38</v>
      </c>
      <c r="B93">
        <f>VLOOKUP(D93,party!A:E,5,0)</f>
        <v>17</v>
      </c>
      <c r="C93">
        <v>1936</v>
      </c>
      <c r="D93" s="10" t="s">
        <v>33</v>
      </c>
      <c r="E93"/>
      <c r="F93"/>
      <c r="G93" s="5">
        <v>16681862</v>
      </c>
      <c r="H93" s="33">
        <v>0.36499999999999999</v>
      </c>
      <c r="I93" s="42">
        <v>8</v>
      </c>
      <c r="J93" s="41"/>
      <c r="K93" s="41"/>
      <c r="L93" s="41"/>
      <c r="M93" s="41"/>
      <c r="N93" s="41"/>
      <c r="O93" s="41"/>
      <c r="P93" t="str">
        <f t="shared" si="8"/>
        <v>36.5%</v>
      </c>
      <c r="Q93" t="str">
        <f>IF(IFERROR(VLOOKUP($D93,party!$A:$D,2,0),"")="","",IFERROR(VLOOKUP($D93,party!$A:$D,2,0),""))</f>
        <v/>
      </c>
      <c r="R93" t="str">
        <f>IF(IFERROR(VLOOKUP($D93,party!$A:$D,3,0),"")="","",IFERROR(VLOOKUP($D93,party!$A:$D,3,0),""))</f>
        <v>https://en.wikipedia.org/wiki/Republican_Party_(United_States)</v>
      </c>
      <c r="S93" t="str">
        <f>IF(IFERROR(VLOOKUP($D93,party!$A:$D,4,0),"")="","",IFERROR(VLOOKUP($D93,party!$A:$D,4,0),""))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93">
        <f t="shared" si="9"/>
        <v>0.36499999999999999</v>
      </c>
      <c r="U93" t="str">
        <f t="shared" si="7"/>
        <v>38th</v>
      </c>
      <c r="V93" t="b">
        <v>0</v>
      </c>
      <c r="W93" t="s">
        <v>153</v>
      </c>
      <c r="X93" t="str">
        <f t="shared" si="13"/>
        <v/>
      </c>
      <c r="Y93" t="str">
        <f t="shared" si="11"/>
        <v>Alf Landon</v>
      </c>
      <c r="Z93" t="str">
        <f t="shared" si="12"/>
        <v>https://en.wikipedia.org/wiki/1936_United_States_presidential_election</v>
      </c>
    </row>
    <row r="94" spans="1:26" s="7" customFormat="1" x14ac:dyDescent="0.25">
      <c r="A94">
        <v>39</v>
      </c>
      <c r="B94">
        <f>VLOOKUP(D94,party!A:E,5,0)</f>
        <v>26</v>
      </c>
      <c r="C94">
        <v>1940</v>
      </c>
      <c r="D94" s="14" t="s">
        <v>21</v>
      </c>
      <c r="E94" t="s">
        <v>58</v>
      </c>
      <c r="F94"/>
      <c r="G94" s="5">
        <v>27313945</v>
      </c>
      <c r="H94" s="33">
        <v>0.54700000000000004</v>
      </c>
      <c r="I94" s="42">
        <v>449</v>
      </c>
      <c r="J94" s="41"/>
      <c r="K94" s="41"/>
      <c r="L94" s="41"/>
      <c r="M94" s="41"/>
      <c r="N94" s="41"/>
      <c r="O94" s="41"/>
      <c r="P94" t="str">
        <f t="shared" si="8"/>
        <v>54.7%</v>
      </c>
      <c r="Q94" t="str">
        <f>IF(IFERROR(VLOOKUP($D94,party!$A:$D,2,0),"")="","",IFERROR(VLOOKUP($D94,party!$A:$D,2,0),""))</f>
        <v/>
      </c>
      <c r="R94" t="str">
        <f>IF(IFERROR(VLOOKUP($D94,party!$A:$D,3,0),"")="","",IFERROR(VLOOKUP($D94,party!$A:$D,3,0),""))</f>
        <v>https://en.wikipedia.org/wiki/Democratic_Party_(United_States)</v>
      </c>
      <c r="S94" t="str">
        <f>IF(IFERROR(VLOOKUP($D94,party!$A:$D,4,0),"")="","",IFERROR(VLOOKUP($D94,party!$A:$D,4,0),""))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94">
        <f t="shared" si="9"/>
        <v>0.54700000000000004</v>
      </c>
      <c r="U94" t="str">
        <f t="shared" si="7"/>
        <v>39th</v>
      </c>
      <c r="V94" t="b">
        <v>1</v>
      </c>
      <c r="W94" t="s">
        <v>171</v>
      </c>
      <c r="X94" t="str">
        <f t="shared" si="13"/>
        <v/>
      </c>
      <c r="Y94" t="str">
        <f t="shared" si="11"/>
        <v/>
      </c>
      <c r="Z94" t="str">
        <f t="shared" si="12"/>
        <v>https://en.wikipedia.org/wiki/1940_United_States_presidential_election</v>
      </c>
    </row>
    <row r="95" spans="1:26" s="7" customFormat="1" x14ac:dyDescent="0.25">
      <c r="A95">
        <v>39</v>
      </c>
      <c r="B95">
        <f>VLOOKUP(D95,party!A:E,5,0)</f>
        <v>17</v>
      </c>
      <c r="C95">
        <v>1940</v>
      </c>
      <c r="D95" s="10" t="s">
        <v>33</v>
      </c>
      <c r="E95"/>
      <c r="F95"/>
      <c r="G95" s="5">
        <v>22347744</v>
      </c>
      <c r="H95" s="33">
        <v>0.44800000000000001</v>
      </c>
      <c r="I95" s="42">
        <v>82</v>
      </c>
      <c r="J95" s="41"/>
      <c r="K95" s="41"/>
      <c r="L95" s="41"/>
      <c r="M95" s="41"/>
      <c r="N95" s="41"/>
      <c r="O95" s="41"/>
      <c r="P95" t="str">
        <f t="shared" si="8"/>
        <v>44.8%</v>
      </c>
      <c r="Q95" t="str">
        <f>IF(IFERROR(VLOOKUP($D95,party!$A:$D,2,0),"")="","",IFERROR(VLOOKUP($D95,party!$A:$D,2,0),""))</f>
        <v/>
      </c>
      <c r="R95" t="str">
        <f>IF(IFERROR(VLOOKUP($D95,party!$A:$D,3,0),"")="","",IFERROR(VLOOKUP($D95,party!$A:$D,3,0),""))</f>
        <v>https://en.wikipedia.org/wiki/Republican_Party_(United_States)</v>
      </c>
      <c r="S95" t="str">
        <f>IF(IFERROR(VLOOKUP($D95,party!$A:$D,4,0),"")="","",IFERROR(VLOOKUP($D95,party!$A:$D,4,0),""))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95">
        <f t="shared" si="9"/>
        <v>0.44800000000000001</v>
      </c>
      <c r="U95" t="str">
        <f t="shared" si="7"/>
        <v>39th</v>
      </c>
      <c r="V95" t="b">
        <v>0</v>
      </c>
      <c r="W95" t="s">
        <v>154</v>
      </c>
      <c r="X95" t="str">
        <f t="shared" si="13"/>
        <v/>
      </c>
      <c r="Y95" t="str">
        <f t="shared" si="11"/>
        <v>Wendell Willkie</v>
      </c>
      <c r="Z95" t="str">
        <f t="shared" si="12"/>
        <v>https://en.wikipedia.org/wiki/1940_United_States_presidential_election</v>
      </c>
    </row>
    <row r="96" spans="1:26" s="7" customFormat="1" x14ac:dyDescent="0.25">
      <c r="A96">
        <v>40</v>
      </c>
      <c r="B96">
        <f>VLOOKUP(D96,party!A:E,5,0)</f>
        <v>26</v>
      </c>
      <c r="C96">
        <v>1944</v>
      </c>
      <c r="D96" s="14" t="s">
        <v>21</v>
      </c>
      <c r="E96" t="s">
        <v>58</v>
      </c>
      <c r="F96"/>
      <c r="G96" s="5">
        <v>25612916</v>
      </c>
      <c r="H96" s="33">
        <v>0.53400000000000003</v>
      </c>
      <c r="I96" s="42">
        <v>432</v>
      </c>
      <c r="J96" s="41"/>
      <c r="K96" s="41"/>
      <c r="L96" s="41"/>
      <c r="M96" s="41"/>
      <c r="N96" s="41"/>
      <c r="O96" s="41"/>
      <c r="P96" t="str">
        <f t="shared" si="8"/>
        <v>53.4%</v>
      </c>
      <c r="Q96" t="str">
        <f>IF(IFERROR(VLOOKUP($D96,party!$A:$D,2,0),"")="","",IFERROR(VLOOKUP($D96,party!$A:$D,2,0),""))</f>
        <v/>
      </c>
      <c r="R96" t="str">
        <f>IF(IFERROR(VLOOKUP($D96,party!$A:$D,3,0),"")="","",IFERROR(VLOOKUP($D96,party!$A:$D,3,0),""))</f>
        <v>https://en.wikipedia.org/wiki/Democratic_Party_(United_States)</v>
      </c>
      <c r="S96" t="str">
        <f>IF(IFERROR(VLOOKUP($D96,party!$A:$D,4,0),"")="","",IFERROR(VLOOKUP($D96,party!$A:$D,4,0),""))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96">
        <f t="shared" si="9"/>
        <v>0.53400000000000003</v>
      </c>
      <c r="U96" t="str">
        <f t="shared" si="7"/>
        <v>40th</v>
      </c>
      <c r="V96" t="b">
        <v>1</v>
      </c>
      <c r="W96" t="s">
        <v>171</v>
      </c>
      <c r="X96" t="str">
        <f t="shared" si="13"/>
        <v/>
      </c>
      <c r="Y96" t="str">
        <f t="shared" si="11"/>
        <v/>
      </c>
      <c r="Z96" t="str">
        <f t="shared" si="12"/>
        <v>https://en.wikipedia.org/wiki/1944_United_States_presidential_election</v>
      </c>
    </row>
    <row r="97" spans="1:26" s="7" customFormat="1" x14ac:dyDescent="0.25">
      <c r="A97">
        <v>40</v>
      </c>
      <c r="B97">
        <f>VLOOKUP(D97,party!A:E,5,0)</f>
        <v>17</v>
      </c>
      <c r="C97">
        <v>1944</v>
      </c>
      <c r="D97" s="10" t="s">
        <v>33</v>
      </c>
      <c r="E97"/>
      <c r="F97"/>
      <c r="G97" s="5">
        <v>22017929</v>
      </c>
      <c r="H97" s="33">
        <v>0.45900000000000002</v>
      </c>
      <c r="I97" s="42">
        <v>99</v>
      </c>
      <c r="J97" s="41"/>
      <c r="K97" s="41"/>
      <c r="L97" s="41"/>
      <c r="M97" s="41"/>
      <c r="N97" s="41"/>
      <c r="O97" s="41"/>
      <c r="P97" t="str">
        <f t="shared" si="8"/>
        <v>45.9%</v>
      </c>
      <c r="Q97" t="str">
        <f>IF(IFERROR(VLOOKUP($D97,party!$A:$D,2,0),"")="","",IFERROR(VLOOKUP($D97,party!$A:$D,2,0),""))</f>
        <v/>
      </c>
      <c r="R97" t="str">
        <f>IF(IFERROR(VLOOKUP($D97,party!$A:$D,3,0),"")="","",IFERROR(VLOOKUP($D97,party!$A:$D,3,0),""))</f>
        <v>https://en.wikipedia.org/wiki/Republican_Party_(United_States)</v>
      </c>
      <c r="S97" t="str">
        <f>IF(IFERROR(VLOOKUP($D97,party!$A:$D,4,0),"")="","",IFERROR(VLOOKUP($D97,party!$A:$D,4,0),""))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97">
        <f t="shared" si="9"/>
        <v>0.45900000000000002</v>
      </c>
      <c r="U97" t="str">
        <f t="shared" si="7"/>
        <v>40th</v>
      </c>
      <c r="V97" t="b">
        <v>0</v>
      </c>
      <c r="W97" t="s">
        <v>155</v>
      </c>
      <c r="X97" t="str">
        <f t="shared" si="13"/>
        <v/>
      </c>
      <c r="Y97" t="str">
        <f t="shared" si="11"/>
        <v>Thomas E. Dewey</v>
      </c>
      <c r="Z97" t="str">
        <f t="shared" si="12"/>
        <v>https://en.wikipedia.org/wiki/1944_United_States_presidential_election</v>
      </c>
    </row>
    <row r="98" spans="1:26" s="7" customFormat="1" x14ac:dyDescent="0.25">
      <c r="A98">
        <v>41</v>
      </c>
      <c r="B98">
        <f>VLOOKUP(D98,party!A:E,5,0)</f>
        <v>26</v>
      </c>
      <c r="C98">
        <v>1948</v>
      </c>
      <c r="D98" s="14" t="s">
        <v>21</v>
      </c>
      <c r="E98" t="s">
        <v>60</v>
      </c>
      <c r="F98"/>
      <c r="G98" s="5">
        <v>24179347</v>
      </c>
      <c r="H98" s="33">
        <v>0.496</v>
      </c>
      <c r="I98" s="42">
        <v>303</v>
      </c>
      <c r="J98" s="41"/>
      <c r="K98" s="41"/>
      <c r="L98" s="41"/>
      <c r="M98" s="41"/>
      <c r="N98" s="41"/>
      <c r="O98" s="41"/>
      <c r="P98" t="str">
        <f t="shared" si="8"/>
        <v>49.6%</v>
      </c>
      <c r="Q98" t="str">
        <f>IF(IFERROR(VLOOKUP($D98,party!$A:$D,2,0),"")="","",IFERROR(VLOOKUP($D98,party!$A:$D,2,0),""))</f>
        <v/>
      </c>
      <c r="R98" t="str">
        <f>IF(IFERROR(VLOOKUP($D98,party!$A:$D,3,0),"")="","",IFERROR(VLOOKUP($D98,party!$A:$D,3,0),""))</f>
        <v>https://en.wikipedia.org/wiki/Democratic_Party_(United_States)</v>
      </c>
      <c r="S98" t="str">
        <f>IF(IFERROR(VLOOKUP($D98,party!$A:$D,4,0),"")="","",IFERROR(VLOOKUP($D98,party!$A:$D,4,0),""))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98">
        <f t="shared" si="9"/>
        <v>0.496</v>
      </c>
      <c r="U98" t="str">
        <f t="shared" ref="U98:U129" si="14">_xlfn.CONCAT(TEXT(A98,"#"), IF(AND(A98&gt;=10, A98&lt;=19), "th", IF(MOD(A98,10) = 1, "st", IF(MOD(A98,10) = 2, "nd", IF(MOD(A98,10) = 3, "rd", "th")))))</f>
        <v>41st</v>
      </c>
      <c r="V98" t="b">
        <v>1</v>
      </c>
      <c r="W98" t="s">
        <v>171</v>
      </c>
      <c r="X98" t="str">
        <f t="shared" si="13"/>
        <v/>
      </c>
      <c r="Y98" t="str">
        <f t="shared" si="11"/>
        <v/>
      </c>
      <c r="Z98" t="str">
        <f t="shared" si="12"/>
        <v>https://en.wikipedia.org/wiki/1948_United_States_presidential_election</v>
      </c>
    </row>
    <row r="99" spans="1:26" s="7" customFormat="1" x14ac:dyDescent="0.25">
      <c r="A99">
        <v>41</v>
      </c>
      <c r="B99">
        <f>VLOOKUP(D99,party!A:E,5,0)</f>
        <v>17</v>
      </c>
      <c r="C99">
        <v>1948</v>
      </c>
      <c r="D99" s="10" t="s">
        <v>33</v>
      </c>
      <c r="E99"/>
      <c r="F99"/>
      <c r="G99" s="5">
        <v>21991292</v>
      </c>
      <c r="H99" s="33">
        <v>0.45100000000000001</v>
      </c>
      <c r="I99" s="47">
        <v>189</v>
      </c>
      <c r="J99" s="41"/>
      <c r="K99" s="41"/>
      <c r="L99" s="41"/>
      <c r="M99" s="41"/>
      <c r="N99" s="41"/>
      <c r="O99" s="41"/>
      <c r="P99" t="str">
        <f t="shared" si="8"/>
        <v>45.1%</v>
      </c>
      <c r="Q99" t="str">
        <f>IF(IFERROR(VLOOKUP($D99,party!$A:$D,2,0),"")="","",IFERROR(VLOOKUP($D99,party!$A:$D,2,0),""))</f>
        <v/>
      </c>
      <c r="R99" t="str">
        <f>IF(IFERROR(VLOOKUP($D99,party!$A:$D,3,0),"")="","",IFERROR(VLOOKUP($D99,party!$A:$D,3,0),""))</f>
        <v>https://en.wikipedia.org/wiki/Republican_Party_(United_States)</v>
      </c>
      <c r="S99" t="str">
        <f>IF(IFERROR(VLOOKUP($D99,party!$A:$D,4,0),"")="","",IFERROR(VLOOKUP($D99,party!$A:$D,4,0),""))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99">
        <f t="shared" si="9"/>
        <v>0.45100000000000001</v>
      </c>
      <c r="U99" t="str">
        <f t="shared" si="14"/>
        <v>41st</v>
      </c>
      <c r="V99" t="b">
        <v>0</v>
      </c>
      <c r="W99" t="s">
        <v>155</v>
      </c>
      <c r="X99" t="str">
        <f t="shared" si="13"/>
        <v/>
      </c>
      <c r="Y99" t="str">
        <f t="shared" si="11"/>
        <v>Thomas E. Dewey</v>
      </c>
      <c r="Z99" t="str">
        <f t="shared" si="12"/>
        <v>https://en.wikipedia.org/wiki/1948_United_States_presidential_election</v>
      </c>
    </row>
    <row r="100" spans="1:26" s="7" customFormat="1" x14ac:dyDescent="0.25">
      <c r="A100">
        <v>41</v>
      </c>
      <c r="B100">
        <f>VLOOKUP(D100,party!A:E,5,0)</f>
        <v>31</v>
      </c>
      <c r="C100">
        <v>1948</v>
      </c>
      <c r="D100" t="s">
        <v>59</v>
      </c>
      <c r="E100"/>
      <c r="F100"/>
      <c r="G100" s="5">
        <v>1175930</v>
      </c>
      <c r="H100" s="33">
        <v>2.4E-2</v>
      </c>
      <c r="I100" s="42">
        <v>39</v>
      </c>
      <c r="J100" s="41"/>
      <c r="K100" s="41"/>
      <c r="L100" s="41"/>
      <c r="M100" s="41"/>
      <c r="N100" s="41"/>
      <c r="O100" s="41"/>
      <c r="P100" t="str">
        <f t="shared" si="8"/>
        <v>2.4%</v>
      </c>
      <c r="Q100" t="str">
        <f>IF(IFERROR(VLOOKUP($D100,party!$A:$D,2,0),"")="","",IFERROR(VLOOKUP($D100,party!$A:$D,2,0),""))</f>
        <v/>
      </c>
      <c r="R100" t="str">
        <f>IF(IFERROR(VLOOKUP($D100,party!$A:$D,3,0),"")="","",IFERROR(VLOOKUP($D100,party!$A:$D,3,0),""))</f>
        <v>https://en.wikipedia.org/wiki/Dixiecrat</v>
      </c>
      <c r="S100" t="str">
        <f>IF(IFERROR(VLOOKUP($D100,party!$A:$D,4,0),"")="","",IFERROR(VLOOKUP($D100,party!$A:$D,4,0),""))</f>
        <v>The States' Rights Democratic Party (whose members are often called the Dixiecrats), also colloquially referred to as the Dixiecrat Party was a short-lived segregationist political party in the United States, active primarily in the South. It arose due to a Southern regional split in opposition to the national Democratic Party. After President Harry S. Truman, the leader of the Democratic Party, ordered integration of the military in 1948 and other actions to address civil rights of African Americans, including the first presidential proposal for comprehensive civil and voting rights, many Southern white politicians who objected to this course organized themselves as a breakaway faction. They wished to protect the ability of states to maintain racial segregation. Its members were referred to as "Dixiecrats", a portmanteau of "Dixie", referring to the Southern United States, and "Democrat".</v>
      </c>
      <c r="T100">
        <f t="shared" si="9"/>
        <v>2.4E-2</v>
      </c>
      <c r="U100" t="str">
        <f t="shared" si="14"/>
        <v>41st</v>
      </c>
      <c r="V100" t="b">
        <v>0</v>
      </c>
      <c r="W100" t="s">
        <v>156</v>
      </c>
      <c r="X100" t="str">
        <f t="shared" si="13"/>
        <v/>
      </c>
      <c r="Y100" t="str">
        <f t="shared" si="11"/>
        <v>Strom Thurmond</v>
      </c>
      <c r="Z100" t="str">
        <f t="shared" si="12"/>
        <v>https://en.wikipedia.org/wiki/1948_United_States_presidential_election</v>
      </c>
    </row>
    <row r="101" spans="1:26" s="7" customFormat="1" x14ac:dyDescent="0.25">
      <c r="A101">
        <v>42</v>
      </c>
      <c r="B101">
        <f>VLOOKUP(D101,party!A:E,5,0)</f>
        <v>26</v>
      </c>
      <c r="C101">
        <v>1952</v>
      </c>
      <c r="D101" s="14" t="s">
        <v>21</v>
      </c>
      <c r="E101"/>
      <c r="F101"/>
      <c r="G101" s="5">
        <v>27375090</v>
      </c>
      <c r="H101" s="33">
        <v>0.443</v>
      </c>
      <c r="I101" s="42">
        <v>89</v>
      </c>
      <c r="J101" s="41"/>
      <c r="K101" s="41"/>
      <c r="L101" s="41"/>
      <c r="M101" s="41"/>
      <c r="N101" s="41"/>
      <c r="O101" s="41"/>
      <c r="P101" t="str">
        <f t="shared" si="8"/>
        <v>44.3%</v>
      </c>
      <c r="Q101" t="str">
        <f>IF(IFERROR(VLOOKUP($D101,party!$A:$D,2,0),"")="","",IFERROR(VLOOKUP($D101,party!$A:$D,2,0),""))</f>
        <v/>
      </c>
      <c r="R101" t="str">
        <f>IF(IFERROR(VLOOKUP($D101,party!$A:$D,3,0),"")="","",IFERROR(VLOOKUP($D101,party!$A:$D,3,0),""))</f>
        <v>https://en.wikipedia.org/wiki/Democratic_Party_(United_States)</v>
      </c>
      <c r="S101" t="str">
        <f>IF(IFERROR(VLOOKUP($D101,party!$A:$D,4,0),"")="","",IFERROR(VLOOKUP($D101,party!$A:$D,4,0),""))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01">
        <f t="shared" si="9"/>
        <v>0.443</v>
      </c>
      <c r="U101" t="str">
        <f t="shared" si="14"/>
        <v>42nd</v>
      </c>
      <c r="V101" t="b">
        <v>0</v>
      </c>
      <c r="W101" t="s">
        <v>157</v>
      </c>
      <c r="X101" t="str">
        <f t="shared" si="13"/>
        <v/>
      </c>
      <c r="Y101" t="str">
        <f t="shared" si="11"/>
        <v>Adlai Stevenson II</v>
      </c>
      <c r="Z101" t="str">
        <f t="shared" si="12"/>
        <v>https://en.wikipedia.org/wiki/1952_United_States_presidential_election</v>
      </c>
    </row>
    <row r="102" spans="1:26" s="7" customFormat="1" x14ac:dyDescent="0.25">
      <c r="A102">
        <v>42</v>
      </c>
      <c r="B102">
        <f>VLOOKUP(D102,party!A:E,5,0)</f>
        <v>17</v>
      </c>
      <c r="C102">
        <v>1952</v>
      </c>
      <c r="D102" s="10" t="s">
        <v>33</v>
      </c>
      <c r="E102" t="s">
        <v>61</v>
      </c>
      <c r="F102"/>
      <c r="G102" s="5">
        <v>34075529</v>
      </c>
      <c r="H102" s="33">
        <v>0.55200000000000005</v>
      </c>
      <c r="I102" s="42">
        <v>442</v>
      </c>
      <c r="J102" s="41"/>
      <c r="K102" s="41"/>
      <c r="L102" s="41"/>
      <c r="M102" s="41"/>
      <c r="N102" s="41"/>
      <c r="O102" s="41"/>
      <c r="P102" t="str">
        <f t="shared" si="8"/>
        <v>55.2%</v>
      </c>
      <c r="Q102" t="str">
        <f>IF(IFERROR(VLOOKUP($D102,party!$A:$D,2,0),"")="","",IFERROR(VLOOKUP($D102,party!$A:$D,2,0),""))</f>
        <v/>
      </c>
      <c r="R102" t="str">
        <f>IF(IFERROR(VLOOKUP($D102,party!$A:$D,3,0),"")="","",IFERROR(VLOOKUP($D102,party!$A:$D,3,0),""))</f>
        <v>https://en.wikipedia.org/wiki/Republican_Party_(United_States)</v>
      </c>
      <c r="S102" t="str">
        <f>IF(IFERROR(VLOOKUP($D102,party!$A:$D,4,0),"")="","",IFERROR(VLOOKUP($D102,party!$A:$D,4,0),""))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02">
        <f t="shared" si="9"/>
        <v>0.55200000000000005</v>
      </c>
      <c r="U102" t="str">
        <f t="shared" si="14"/>
        <v>42nd</v>
      </c>
      <c r="V102" t="b">
        <v>1</v>
      </c>
      <c r="W102" t="s">
        <v>171</v>
      </c>
      <c r="X102" t="str">
        <f t="shared" si="13"/>
        <v/>
      </c>
      <c r="Y102" t="str">
        <f t="shared" si="11"/>
        <v/>
      </c>
      <c r="Z102" t="str">
        <f t="shared" si="12"/>
        <v>https://en.wikipedia.org/wiki/1952_United_States_presidential_election</v>
      </c>
    </row>
    <row r="103" spans="1:26" s="7" customFormat="1" x14ac:dyDescent="0.25">
      <c r="A103">
        <v>43</v>
      </c>
      <c r="B103">
        <f>VLOOKUP(D103,party!A:E,5,0)</f>
        <v>26</v>
      </c>
      <c r="C103">
        <v>1956</v>
      </c>
      <c r="D103" s="14" t="s">
        <v>21</v>
      </c>
      <c r="E103"/>
      <c r="F103"/>
      <c r="G103" s="5">
        <v>26028028</v>
      </c>
      <c r="H103" s="33">
        <v>0.42</v>
      </c>
      <c r="I103" s="42">
        <v>74</v>
      </c>
      <c r="J103" s="41"/>
      <c r="K103" s="41"/>
      <c r="L103" s="41"/>
      <c r="M103" s="41"/>
      <c r="N103" s="41"/>
      <c r="O103" s="41"/>
      <c r="P103" t="str">
        <f t="shared" si="8"/>
        <v>42.0%</v>
      </c>
      <c r="Q103" t="str">
        <f>IF(IFERROR(VLOOKUP($D103,party!$A:$D,2,0),"")="","",IFERROR(VLOOKUP($D103,party!$A:$D,2,0),""))</f>
        <v/>
      </c>
      <c r="R103" t="str">
        <f>IF(IFERROR(VLOOKUP($D103,party!$A:$D,3,0),"")="","",IFERROR(VLOOKUP($D103,party!$A:$D,3,0),""))</f>
        <v>https://en.wikipedia.org/wiki/Democratic_Party_(United_States)</v>
      </c>
      <c r="S103" t="str">
        <f>IF(IFERROR(VLOOKUP($D103,party!$A:$D,4,0),"")="","",IFERROR(VLOOKUP($D103,party!$A:$D,4,0),""))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03">
        <f t="shared" si="9"/>
        <v>0.42</v>
      </c>
      <c r="U103" t="str">
        <f t="shared" si="14"/>
        <v>43rd</v>
      </c>
      <c r="V103" t="b">
        <v>0</v>
      </c>
      <c r="W103" t="s">
        <v>180</v>
      </c>
      <c r="X103" t="str">
        <f t="shared" si="13"/>
        <v/>
      </c>
      <c r="Y103" t="str">
        <f t="shared" si="11"/>
        <v>Adlai Stevenson II and 1 more</v>
      </c>
      <c r="Z103" t="str">
        <f t="shared" si="12"/>
        <v>https://en.wikipedia.org/wiki/1956_United_States_presidential_election</v>
      </c>
    </row>
    <row r="104" spans="1:26" s="7" customFormat="1" x14ac:dyDescent="0.25">
      <c r="A104">
        <v>43</v>
      </c>
      <c r="B104">
        <f>VLOOKUP(D104,party!A:E,5,0)</f>
        <v>17</v>
      </c>
      <c r="C104">
        <v>1956</v>
      </c>
      <c r="D104" s="10" t="s">
        <v>33</v>
      </c>
      <c r="E104" t="s">
        <v>61</v>
      </c>
      <c r="F104"/>
      <c r="G104" s="5">
        <v>35579180</v>
      </c>
      <c r="H104" s="33">
        <v>0.57399999999999995</v>
      </c>
      <c r="I104" s="42">
        <v>457</v>
      </c>
      <c r="J104" s="41">
        <v>73</v>
      </c>
      <c r="K104" s="41">
        <v>1</v>
      </c>
      <c r="L104" s="41"/>
      <c r="M104" s="41"/>
      <c r="N104" s="41"/>
      <c r="O104" s="41"/>
      <c r="P104" t="str">
        <f t="shared" si="8"/>
        <v>57.4%</v>
      </c>
      <c r="Q104" t="str">
        <f>IF(IFERROR(VLOOKUP($D104,party!$A:$D,2,0),"")="","",IFERROR(VLOOKUP($D104,party!$A:$D,2,0),""))</f>
        <v/>
      </c>
      <c r="R104" t="str">
        <f>IF(IFERROR(VLOOKUP($D104,party!$A:$D,3,0),"")="","",IFERROR(VLOOKUP($D104,party!$A:$D,3,0),""))</f>
        <v>https://en.wikipedia.org/wiki/Republican_Party_(United_States)</v>
      </c>
      <c r="S104" t="str">
        <f>IF(IFERROR(VLOOKUP($D104,party!$A:$D,4,0),"")="","",IFERROR(VLOOKUP($D104,party!$A:$D,4,0),""))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04">
        <f t="shared" si="9"/>
        <v>0.57399999999999995</v>
      </c>
      <c r="U104" t="str">
        <f t="shared" si="14"/>
        <v>43rd</v>
      </c>
      <c r="V104" t="b">
        <v>1</v>
      </c>
      <c r="W104" t="s">
        <v>171</v>
      </c>
      <c r="X104" t="str">
        <f t="shared" si="13"/>
        <v/>
      </c>
      <c r="Y104" t="str">
        <f t="shared" si="11"/>
        <v/>
      </c>
      <c r="Z104" t="str">
        <f t="shared" si="12"/>
        <v>https://en.wikipedia.org/wiki/1956_United_States_presidential_election</v>
      </c>
    </row>
    <row r="105" spans="1:26" s="7" customFormat="1" x14ac:dyDescent="0.25">
      <c r="A105">
        <v>44</v>
      </c>
      <c r="B105">
        <f>VLOOKUP(D105,party!A:E,5,0)</f>
        <v>26</v>
      </c>
      <c r="C105">
        <v>1960</v>
      </c>
      <c r="D105" s="14" t="s">
        <v>21</v>
      </c>
      <c r="E105" t="s">
        <v>63</v>
      </c>
      <c r="F105"/>
      <c r="G105" s="5">
        <v>34220984</v>
      </c>
      <c r="H105" s="33">
        <v>0.497</v>
      </c>
      <c r="I105" s="42">
        <v>303</v>
      </c>
      <c r="J105" s="41"/>
      <c r="K105" s="41"/>
      <c r="L105" s="41"/>
      <c r="M105" s="41"/>
      <c r="N105" s="41"/>
      <c r="O105" s="41"/>
      <c r="P105" t="str">
        <f t="shared" si="8"/>
        <v>49.7%</v>
      </c>
      <c r="Q105" t="str">
        <f>IF(IFERROR(VLOOKUP($D105,party!$A:$D,2,0),"")="","",IFERROR(VLOOKUP($D105,party!$A:$D,2,0),""))</f>
        <v/>
      </c>
      <c r="R105" t="str">
        <f>IF(IFERROR(VLOOKUP($D105,party!$A:$D,3,0),"")="","",IFERROR(VLOOKUP($D105,party!$A:$D,3,0),""))</f>
        <v>https://en.wikipedia.org/wiki/Democratic_Party_(United_States)</v>
      </c>
      <c r="S105" t="str">
        <f>IF(IFERROR(VLOOKUP($D105,party!$A:$D,4,0),"")="","",IFERROR(VLOOKUP($D105,party!$A:$D,4,0),""))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05">
        <f t="shared" si="9"/>
        <v>0.497</v>
      </c>
      <c r="U105" t="str">
        <f t="shared" si="14"/>
        <v>44th</v>
      </c>
      <c r="V105" t="b">
        <v>1</v>
      </c>
      <c r="W105" t="s">
        <v>171</v>
      </c>
      <c r="X105" t="str">
        <f t="shared" si="13"/>
        <v/>
      </c>
      <c r="Y105" t="str">
        <f t="shared" si="11"/>
        <v/>
      </c>
      <c r="Z105" t="str">
        <f t="shared" si="12"/>
        <v>https://en.wikipedia.org/wiki/1960_United_States_presidential_election</v>
      </c>
    </row>
    <row r="106" spans="1:26" s="7" customFormat="1" x14ac:dyDescent="0.25">
      <c r="A106">
        <v>44</v>
      </c>
      <c r="B106">
        <f>VLOOKUP(D106,party!A:E,5,0)</f>
        <v>17</v>
      </c>
      <c r="C106">
        <v>1960</v>
      </c>
      <c r="D106" s="10" t="s">
        <v>33</v>
      </c>
      <c r="E106"/>
      <c r="F106"/>
      <c r="G106" s="5">
        <v>34108157</v>
      </c>
      <c r="H106" s="33">
        <v>0.496</v>
      </c>
      <c r="I106" s="42">
        <v>219</v>
      </c>
      <c r="J106" s="41"/>
      <c r="K106" s="41"/>
      <c r="L106" s="41"/>
      <c r="M106" s="41"/>
      <c r="N106" s="41"/>
      <c r="O106" s="41"/>
      <c r="P106" t="str">
        <f t="shared" si="8"/>
        <v>49.6%</v>
      </c>
      <c r="Q106" t="str">
        <f>IF(IFERROR(VLOOKUP($D106,party!$A:$D,2,0),"")="","",IFERROR(VLOOKUP($D106,party!$A:$D,2,0),""))</f>
        <v/>
      </c>
      <c r="R106" t="str">
        <f>IF(IFERROR(VLOOKUP($D106,party!$A:$D,3,0),"")="","",IFERROR(VLOOKUP($D106,party!$A:$D,3,0),""))</f>
        <v>https://en.wikipedia.org/wiki/Republican_Party_(United_States)</v>
      </c>
      <c r="S106" t="str">
        <f>IF(IFERROR(VLOOKUP($D106,party!$A:$D,4,0),"")="","",IFERROR(VLOOKUP($D106,party!$A:$D,4,0),""))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06">
        <f t="shared" si="9"/>
        <v>0.496</v>
      </c>
      <c r="U106" t="str">
        <f t="shared" si="14"/>
        <v>44th</v>
      </c>
      <c r="V106" t="b">
        <v>0</v>
      </c>
      <c r="W106" t="s">
        <v>66</v>
      </c>
      <c r="X106" t="str">
        <f t="shared" si="13"/>
        <v/>
      </c>
      <c r="Y106" t="str">
        <f t="shared" si="11"/>
        <v>Richard Nixon</v>
      </c>
      <c r="Z106" t="str">
        <f t="shared" si="12"/>
        <v>https://en.wikipedia.org/wiki/1960_United_States_presidential_election</v>
      </c>
    </row>
    <row r="107" spans="1:26" s="7" customFormat="1" x14ac:dyDescent="0.25">
      <c r="A107">
        <v>44</v>
      </c>
      <c r="B107">
        <f>VLOOKUP(D107,party!A:E,5,0)</f>
        <v>32</v>
      </c>
      <c r="C107">
        <v>1960</v>
      </c>
      <c r="D107" t="s">
        <v>62</v>
      </c>
      <c r="E107"/>
      <c r="F107"/>
      <c r="G107" s="6">
        <v>610409</v>
      </c>
      <c r="H107" s="33">
        <v>4.0000000000000001E-3</v>
      </c>
      <c r="I107" s="47">
        <v>15</v>
      </c>
      <c r="J107" s="41"/>
      <c r="K107" s="41"/>
      <c r="L107" s="41"/>
      <c r="M107" s="41"/>
      <c r="N107" s="41"/>
      <c r="O107" s="41"/>
      <c r="P107" t="str">
        <f t="shared" si="8"/>
        <v>0.4%</v>
      </c>
      <c r="Q107" t="str">
        <f>IF(IFERROR(VLOOKUP($D107,party!$A:$D,2,0),"")="","",IFERROR(VLOOKUP($D107,party!$A:$D,2,0),""))</f>
        <v>Not a party.</v>
      </c>
      <c r="R107" t="str">
        <f>IF(IFERROR(VLOOKUP($D107,party!$A:$D,3,0),"")="","",IFERROR(VLOOKUP($D107,party!$A:$D,3,0),""))</f>
        <v>https://en.wikipedia.org/wiki/1960_United_States_presidential_election</v>
      </c>
      <c r="S107" t="str">
        <f>IF(IFERROR(VLOOKUP($D107,party!$A:$D,4,0),"")="","",IFERROR(VLOOKUP($D107,party!$A:$D,4,0),""))</f>
        <v>A total of 15 electors – eight from Mississippi, six from Alabama, and one from Oklahoma – all refused to vote for either Kennedy or Nixon, and instead cast their votes for Senator Harry F. Byrd of Virginia, a conservative Democrat, even though he had not been a candidate for president.</v>
      </c>
      <c r="T107">
        <f t="shared" si="9"/>
        <v>4.0000000000000001E-3</v>
      </c>
      <c r="U107" t="str">
        <f t="shared" si="14"/>
        <v>44th</v>
      </c>
      <c r="V107" t="b">
        <v>0</v>
      </c>
      <c r="W107" t="s">
        <v>158</v>
      </c>
      <c r="X107" t="str">
        <f t="shared" si="13"/>
        <v/>
      </c>
      <c r="Y107" t="str">
        <f t="shared" si="11"/>
        <v>Harry F. Byrd</v>
      </c>
      <c r="Z107" t="str">
        <f t="shared" si="12"/>
        <v>https://en.wikipedia.org/wiki/1960_United_States_presidential_election</v>
      </c>
    </row>
    <row r="108" spans="1:26" s="7" customFormat="1" x14ac:dyDescent="0.25">
      <c r="A108">
        <v>45</v>
      </c>
      <c r="B108">
        <f>VLOOKUP(D108,party!A:E,5,0)</f>
        <v>26</v>
      </c>
      <c r="C108">
        <v>1964</v>
      </c>
      <c r="D108" s="14" t="s">
        <v>21</v>
      </c>
      <c r="E108" t="s">
        <v>64</v>
      </c>
      <c r="F108"/>
      <c r="G108" s="5">
        <v>43127041</v>
      </c>
      <c r="H108" s="33">
        <v>0.61</v>
      </c>
      <c r="I108" s="42">
        <v>486</v>
      </c>
      <c r="J108" s="41"/>
      <c r="K108" s="41"/>
      <c r="L108" s="41"/>
      <c r="M108" s="41"/>
      <c r="N108" s="41"/>
      <c r="O108" s="41"/>
      <c r="P108" t="str">
        <f t="shared" si="8"/>
        <v>61.0%</v>
      </c>
      <c r="Q108" t="str">
        <f>IF(IFERROR(VLOOKUP($D108,party!$A:$D,2,0),"")="","",IFERROR(VLOOKUP($D108,party!$A:$D,2,0),""))</f>
        <v/>
      </c>
      <c r="R108" t="str">
        <f>IF(IFERROR(VLOOKUP($D108,party!$A:$D,3,0),"")="","",IFERROR(VLOOKUP($D108,party!$A:$D,3,0),""))</f>
        <v>https://en.wikipedia.org/wiki/Democratic_Party_(United_States)</v>
      </c>
      <c r="S108" t="str">
        <f>IF(IFERROR(VLOOKUP($D108,party!$A:$D,4,0),"")="","",IFERROR(VLOOKUP($D108,party!$A:$D,4,0),""))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08">
        <f t="shared" si="9"/>
        <v>0.61</v>
      </c>
      <c r="U108" t="str">
        <f t="shared" si="14"/>
        <v>45th</v>
      </c>
      <c r="V108" t="b">
        <v>1</v>
      </c>
      <c r="W108" t="s">
        <v>171</v>
      </c>
      <c r="X108" t="str">
        <f t="shared" si="13"/>
        <v/>
      </c>
      <c r="Y108" t="str">
        <f t="shared" si="11"/>
        <v/>
      </c>
      <c r="Z108" t="str">
        <f t="shared" si="12"/>
        <v>https://en.wikipedia.org/wiki/1964_United_States_presidential_election</v>
      </c>
    </row>
    <row r="109" spans="1:26" s="7" customFormat="1" x14ac:dyDescent="0.25">
      <c r="A109">
        <v>45</v>
      </c>
      <c r="B109">
        <f>VLOOKUP(D109,party!A:E,5,0)</f>
        <v>17</v>
      </c>
      <c r="C109">
        <v>1964</v>
      </c>
      <c r="D109" s="10" t="s">
        <v>33</v>
      </c>
      <c r="E109"/>
      <c r="F109"/>
      <c r="G109" s="5">
        <v>27175754</v>
      </c>
      <c r="H109" s="33">
        <v>0.38500000000000001</v>
      </c>
      <c r="I109" s="42">
        <v>52</v>
      </c>
      <c r="J109" s="41"/>
      <c r="K109" s="41"/>
      <c r="L109" s="41"/>
      <c r="M109" s="41"/>
      <c r="N109" s="41"/>
      <c r="O109" s="41"/>
      <c r="P109" t="str">
        <f t="shared" si="8"/>
        <v>38.5%</v>
      </c>
      <c r="Q109" t="str">
        <f>IF(IFERROR(VLOOKUP($D109,party!$A:$D,2,0),"")="","",IFERROR(VLOOKUP($D109,party!$A:$D,2,0),""))</f>
        <v/>
      </c>
      <c r="R109" t="str">
        <f>IF(IFERROR(VLOOKUP($D109,party!$A:$D,3,0),"")="","",IFERROR(VLOOKUP($D109,party!$A:$D,3,0),""))</f>
        <v>https://en.wikipedia.org/wiki/Republican_Party_(United_States)</v>
      </c>
      <c r="S109" t="str">
        <f>IF(IFERROR(VLOOKUP($D109,party!$A:$D,4,0),"")="","",IFERROR(VLOOKUP($D109,party!$A:$D,4,0),""))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09">
        <f t="shared" si="9"/>
        <v>0.38500000000000001</v>
      </c>
      <c r="U109" t="str">
        <f t="shared" si="14"/>
        <v>45th</v>
      </c>
      <c r="V109" t="b">
        <v>0</v>
      </c>
      <c r="W109" t="s">
        <v>159</v>
      </c>
      <c r="X109" t="str">
        <f t="shared" si="13"/>
        <v/>
      </c>
      <c r="Y109" t="str">
        <f t="shared" si="11"/>
        <v>Barry Goldwater</v>
      </c>
      <c r="Z109" t="str">
        <f t="shared" si="12"/>
        <v>https://en.wikipedia.org/wiki/1964_United_States_presidential_election</v>
      </c>
    </row>
    <row r="110" spans="1:26" s="7" customFormat="1" x14ac:dyDescent="0.25">
      <c r="A110">
        <v>46</v>
      </c>
      <c r="B110">
        <f>VLOOKUP(D110,party!A:E,5,0)</f>
        <v>26</v>
      </c>
      <c r="C110">
        <v>1968</v>
      </c>
      <c r="D110" s="14" t="s">
        <v>21</v>
      </c>
      <c r="E110"/>
      <c r="F110"/>
      <c r="G110" s="5">
        <v>31271839</v>
      </c>
      <c r="H110" s="33">
        <v>0.42699999999999999</v>
      </c>
      <c r="I110" s="42">
        <v>191</v>
      </c>
      <c r="J110" s="41"/>
      <c r="K110" s="41"/>
      <c r="L110" s="41"/>
      <c r="M110" s="41"/>
      <c r="N110" s="41"/>
      <c r="O110" s="41"/>
      <c r="P110" t="str">
        <f t="shared" si="8"/>
        <v>42.7%</v>
      </c>
      <c r="Q110" t="str">
        <f>IF(IFERROR(VLOOKUP($D110,party!$A:$D,2,0),"")="","",IFERROR(VLOOKUP($D110,party!$A:$D,2,0),""))</f>
        <v/>
      </c>
      <c r="R110" t="str">
        <f>IF(IFERROR(VLOOKUP($D110,party!$A:$D,3,0),"")="","",IFERROR(VLOOKUP($D110,party!$A:$D,3,0),""))</f>
        <v>https://en.wikipedia.org/wiki/Democratic_Party_(United_States)</v>
      </c>
      <c r="S110" t="str">
        <f>IF(IFERROR(VLOOKUP($D110,party!$A:$D,4,0),"")="","",IFERROR(VLOOKUP($D110,party!$A:$D,4,0),""))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10">
        <f t="shared" si="9"/>
        <v>0.42699999999999999</v>
      </c>
      <c r="U110" t="str">
        <f t="shared" si="14"/>
        <v>46th</v>
      </c>
      <c r="V110" t="b">
        <v>0</v>
      </c>
      <c r="W110" t="s">
        <v>160</v>
      </c>
      <c r="X110" t="str">
        <f t="shared" si="13"/>
        <v/>
      </c>
      <c r="Y110" t="str">
        <f t="shared" si="11"/>
        <v>Hubert Humphrey</v>
      </c>
      <c r="Z110" t="str">
        <f t="shared" si="12"/>
        <v>https://en.wikipedia.org/wiki/1968_United_States_presidential_election</v>
      </c>
    </row>
    <row r="111" spans="1:26" s="7" customFormat="1" x14ac:dyDescent="0.25">
      <c r="A111">
        <v>46</v>
      </c>
      <c r="B111">
        <f>VLOOKUP(D111,party!A:E,5,0)</f>
        <v>17</v>
      </c>
      <c r="C111">
        <v>1968</v>
      </c>
      <c r="D111" s="10" t="s">
        <v>33</v>
      </c>
      <c r="E111" t="s">
        <v>66</v>
      </c>
      <c r="F111"/>
      <c r="G111" s="5">
        <v>31783783</v>
      </c>
      <c r="H111" s="33">
        <v>0.434</v>
      </c>
      <c r="I111" s="47">
        <v>301</v>
      </c>
      <c r="J111" s="41"/>
      <c r="K111" s="41"/>
      <c r="L111" s="41"/>
      <c r="M111" s="41"/>
      <c r="N111" s="41"/>
      <c r="O111" s="41"/>
      <c r="P111" t="str">
        <f t="shared" si="8"/>
        <v>43.4%</v>
      </c>
      <c r="Q111" t="str">
        <f>IF(IFERROR(VLOOKUP($D111,party!$A:$D,2,0),"")="","",IFERROR(VLOOKUP($D111,party!$A:$D,2,0),""))</f>
        <v/>
      </c>
      <c r="R111" t="str">
        <f>IF(IFERROR(VLOOKUP($D111,party!$A:$D,3,0),"")="","",IFERROR(VLOOKUP($D111,party!$A:$D,3,0),""))</f>
        <v>https://en.wikipedia.org/wiki/Republican_Party_(United_States)</v>
      </c>
      <c r="S111" t="str">
        <f>IF(IFERROR(VLOOKUP($D111,party!$A:$D,4,0),"")="","",IFERROR(VLOOKUP($D111,party!$A:$D,4,0),""))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11">
        <f t="shared" si="9"/>
        <v>0.434</v>
      </c>
      <c r="U111" t="str">
        <f t="shared" si="14"/>
        <v>46th</v>
      </c>
      <c r="V111" t="b">
        <v>1</v>
      </c>
      <c r="W111" t="s">
        <v>171</v>
      </c>
      <c r="X111" t="str">
        <f t="shared" si="13"/>
        <v/>
      </c>
      <c r="Y111" t="str">
        <f t="shared" si="11"/>
        <v/>
      </c>
      <c r="Z111" t="str">
        <f t="shared" si="12"/>
        <v>https://en.wikipedia.org/wiki/1968_United_States_presidential_election</v>
      </c>
    </row>
    <row r="112" spans="1:26" s="7" customFormat="1" x14ac:dyDescent="0.25">
      <c r="A112">
        <v>46</v>
      </c>
      <c r="B112">
        <f>VLOOKUP(D112,party!A:E,5,0)</f>
        <v>7</v>
      </c>
      <c r="C112">
        <v>1968</v>
      </c>
      <c r="D112" t="s">
        <v>65</v>
      </c>
      <c r="E112"/>
      <c r="F112"/>
      <c r="G112" s="5">
        <v>9901118</v>
      </c>
      <c r="H112" s="33">
        <v>0.13500000000000001</v>
      </c>
      <c r="I112" s="42">
        <v>46</v>
      </c>
      <c r="J112" s="41"/>
      <c r="K112" s="41"/>
      <c r="L112" s="41"/>
      <c r="M112" s="41"/>
      <c r="N112" s="41"/>
      <c r="O112" s="41"/>
      <c r="P112" t="str">
        <f t="shared" si="8"/>
        <v>13.5%</v>
      </c>
      <c r="Q112" t="str">
        <f>IF(IFERROR(VLOOKUP($D112,party!$A:$D,2,0),"")="","",IFERROR(VLOOKUP($D112,party!$A:$D,2,0),""))</f>
        <v/>
      </c>
      <c r="R112" t="str">
        <f>IF(IFERROR(VLOOKUP($D112,party!$A:$D,3,0),"")="","",IFERROR(VLOOKUP($D112,party!$A:$D,3,0),""))</f>
        <v>https://en.wikipedia.org/wiki/American_Independent_Party</v>
      </c>
      <c r="S112" t="str">
        <f>IF(IFERROR(VLOOKUP($D112,party!$A:$D,4,0),"")="","",IFERROR(VLOOKUP($D112,party!$A:$D,4,0),""))</f>
        <v>The American Independent Party (AIP) is a far-right political party in the United States that was established in 1967. The AIP is best known for its nomination of Democratic then-former Governor George Wallace of Alabama, who carried five states in the 1968 presidential election running on a populist, hard-line anti-Communist, pro-"law and order" platform, appealing to working-class white voters and widely understood by political analysts as having pro-segregationist or white supremacist undertones, against Richard Nixon and Hubert Humphrey. In 1976, the party split into the modern American Independent Party and the American Party.</v>
      </c>
      <c r="T112">
        <f t="shared" si="9"/>
        <v>0.13500000000000001</v>
      </c>
      <c r="U112" t="str">
        <f t="shared" si="14"/>
        <v>46th</v>
      </c>
      <c r="V112" t="b">
        <v>0</v>
      </c>
      <c r="W112" t="s">
        <v>161</v>
      </c>
      <c r="X112" t="str">
        <f t="shared" si="13"/>
        <v/>
      </c>
      <c r="Y112" t="str">
        <f t="shared" si="11"/>
        <v>George Wallace</v>
      </c>
      <c r="Z112" t="str">
        <f t="shared" si="12"/>
        <v>https://en.wikipedia.org/wiki/1968_United_States_presidential_election</v>
      </c>
    </row>
    <row r="113" spans="1:26" s="7" customFormat="1" x14ac:dyDescent="0.25">
      <c r="A113">
        <v>47</v>
      </c>
      <c r="B113">
        <f>VLOOKUP(D113,party!A:E,5,0)</f>
        <v>17</v>
      </c>
      <c r="C113">
        <v>1972</v>
      </c>
      <c r="D113" s="10" t="s">
        <v>33</v>
      </c>
      <c r="E113" t="s">
        <v>66</v>
      </c>
      <c r="F113"/>
      <c r="G113" s="5">
        <v>47168710</v>
      </c>
      <c r="H113" s="33">
        <v>0.60699999999999998</v>
      </c>
      <c r="I113" s="42">
        <v>520</v>
      </c>
      <c r="J113" s="41"/>
      <c r="K113" s="41"/>
      <c r="L113" s="41"/>
      <c r="M113" s="41"/>
      <c r="N113" s="41"/>
      <c r="O113" s="41"/>
      <c r="P113" t="str">
        <f t="shared" si="8"/>
        <v>60.7%</v>
      </c>
      <c r="Q113" t="str">
        <f>IF(IFERROR(VLOOKUP($D113,party!$A:$D,2,0),"")="","",IFERROR(VLOOKUP($D113,party!$A:$D,2,0),""))</f>
        <v/>
      </c>
      <c r="R113" t="str">
        <f>IF(IFERROR(VLOOKUP($D113,party!$A:$D,3,0),"")="","",IFERROR(VLOOKUP($D113,party!$A:$D,3,0),""))</f>
        <v>https://en.wikipedia.org/wiki/Republican_Party_(United_States)</v>
      </c>
      <c r="S113" t="str">
        <f>IF(IFERROR(VLOOKUP($D113,party!$A:$D,4,0),"")="","",IFERROR(VLOOKUP($D113,party!$A:$D,4,0),""))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13">
        <f t="shared" si="9"/>
        <v>0.60699999999999998</v>
      </c>
      <c r="U113" t="str">
        <f t="shared" si="14"/>
        <v>47th</v>
      </c>
      <c r="V113" t="b">
        <v>1</v>
      </c>
      <c r="W113" t="s">
        <v>171</v>
      </c>
      <c r="X113" t="str">
        <f t="shared" si="13"/>
        <v/>
      </c>
      <c r="Y113" t="str">
        <f t="shared" si="11"/>
        <v/>
      </c>
      <c r="Z113" t="str">
        <f t="shared" si="12"/>
        <v>https://en.wikipedia.org/wiki/1972_United_States_presidential_election</v>
      </c>
    </row>
    <row r="114" spans="1:26" s="7" customFormat="1" x14ac:dyDescent="0.25">
      <c r="A114">
        <v>47</v>
      </c>
      <c r="B114">
        <f>VLOOKUP(D114,party!A:E,5,0)</f>
        <v>26</v>
      </c>
      <c r="C114">
        <v>1972</v>
      </c>
      <c r="D114" s="14" t="s">
        <v>21</v>
      </c>
      <c r="E114"/>
      <c r="F114"/>
      <c r="G114" s="5">
        <v>29173222</v>
      </c>
      <c r="H114" s="33">
        <v>0.375</v>
      </c>
      <c r="I114" s="42">
        <v>17</v>
      </c>
      <c r="J114" s="41"/>
      <c r="K114" s="41"/>
      <c r="L114" s="41"/>
      <c r="M114" s="41"/>
      <c r="N114" s="41"/>
      <c r="O114" s="41"/>
      <c r="P114" t="str">
        <f t="shared" si="8"/>
        <v>37.5%</v>
      </c>
      <c r="Q114" t="str">
        <f>IF(IFERROR(VLOOKUP($D114,party!$A:$D,2,0),"")="","",IFERROR(VLOOKUP($D114,party!$A:$D,2,0),""))</f>
        <v/>
      </c>
      <c r="R114" t="str">
        <f>IF(IFERROR(VLOOKUP($D114,party!$A:$D,3,0),"")="","",IFERROR(VLOOKUP($D114,party!$A:$D,3,0),""))</f>
        <v>https://en.wikipedia.org/wiki/Democratic_Party_(United_States)</v>
      </c>
      <c r="S114" t="str">
        <f>IF(IFERROR(VLOOKUP($D114,party!$A:$D,4,0),"")="","",IFERROR(VLOOKUP($D114,party!$A:$D,4,0),""))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14">
        <f t="shared" si="9"/>
        <v>0.375</v>
      </c>
      <c r="U114" t="str">
        <f t="shared" si="14"/>
        <v>47th</v>
      </c>
      <c r="V114" t="b">
        <v>0</v>
      </c>
      <c r="W114" t="s">
        <v>162</v>
      </c>
      <c r="X114" t="str">
        <f t="shared" si="13"/>
        <v/>
      </c>
      <c r="Y114" t="str">
        <f t="shared" si="11"/>
        <v>George McGovern</v>
      </c>
      <c r="Z114" t="str">
        <f t="shared" si="12"/>
        <v>https://en.wikipedia.org/wiki/1972_United_States_presidential_election</v>
      </c>
    </row>
    <row r="115" spans="1:26" s="7" customFormat="1" x14ac:dyDescent="0.25">
      <c r="A115">
        <v>47</v>
      </c>
      <c r="B115">
        <f>VLOOKUP(D115,party!A:E,5,0)</f>
        <v>8</v>
      </c>
      <c r="C115">
        <v>1972</v>
      </c>
      <c r="D115" t="s">
        <v>67</v>
      </c>
      <c r="E115"/>
      <c r="F115"/>
      <c r="G115" s="5">
        <v>3674</v>
      </c>
      <c r="H115" s="33">
        <v>1E-4</v>
      </c>
      <c r="I115" s="42">
        <v>1</v>
      </c>
      <c r="J115" s="41"/>
      <c r="K115" s="41"/>
      <c r="L115" s="41"/>
      <c r="M115" s="41"/>
      <c r="N115" s="41"/>
      <c r="O115" s="41"/>
      <c r="P115" t="str">
        <f t="shared" si="8"/>
        <v>0.0%</v>
      </c>
      <c r="Q115" t="str">
        <f>IF(IFERROR(VLOOKUP($D115,party!$A:$D,2,0),"")="","",IFERROR(VLOOKUP($D115,party!$A:$D,2,0),""))</f>
        <v/>
      </c>
      <c r="R115" t="str">
        <f>IF(IFERROR(VLOOKUP($D115,party!$A:$D,3,0),"")="","",IFERROR(VLOOKUP($D115,party!$A:$D,3,0),""))</f>
        <v>https://en.wikipedia.org/wiki/Libertarian_Party_(United_States)</v>
      </c>
      <c r="S115" t="str">
        <f>IF(IFERROR(VLOOKUP($D115,party!$A:$D,4,0),"")="","",IFERROR(VLOOKUP($D115,party!$A:$D,4,0),""))</f>
        <v>The Libertarian Party (LP) is a classical liberal political party in the United States that promotes civil liberties, non-interventionism, laissez-faire capitalism, and limiting the size and scope of government. The party was officially formed on December 11, 1971, in Colorado Springs. The organizers of the party drew inspiration from the works and ideas of the prominent Austrian school economist Murray Rothbard. The founding of the party was prompted in part due to concerns about the Nixon administration, the Vietnam War, conscription, and the introduction of fiat money.</v>
      </c>
      <c r="T115">
        <f t="shared" si="9"/>
        <v>1E-4</v>
      </c>
      <c r="U115" t="str">
        <f t="shared" si="14"/>
        <v>47th</v>
      </c>
      <c r="V115" t="b">
        <v>0</v>
      </c>
      <c r="W115" t="s">
        <v>163</v>
      </c>
      <c r="X115" t="str">
        <f t="shared" si="13"/>
        <v/>
      </c>
      <c r="Y115" t="str">
        <f t="shared" si="11"/>
        <v>John Hospers</v>
      </c>
      <c r="Z115" t="str">
        <f t="shared" si="12"/>
        <v>https://en.wikipedia.org/wiki/1972_United_States_presidential_election</v>
      </c>
    </row>
    <row r="116" spans="1:26" s="7" customFormat="1" x14ac:dyDescent="0.25">
      <c r="A116">
        <v>48</v>
      </c>
      <c r="B116">
        <f>VLOOKUP(D116,party!A:E,5,0)</f>
        <v>17</v>
      </c>
      <c r="C116">
        <v>1976</v>
      </c>
      <c r="D116" s="10" t="s">
        <v>33</v>
      </c>
      <c r="E116"/>
      <c r="F116"/>
      <c r="G116" s="5">
        <v>39148634</v>
      </c>
      <c r="H116" s="33">
        <v>0.48</v>
      </c>
      <c r="I116" s="42">
        <v>241</v>
      </c>
      <c r="J116" s="41"/>
      <c r="K116" s="41"/>
      <c r="L116" s="41"/>
      <c r="M116" s="41"/>
      <c r="N116" s="41"/>
      <c r="O116" s="41"/>
      <c r="P116" t="str">
        <f t="shared" si="8"/>
        <v>48.0%</v>
      </c>
      <c r="Q116" t="str">
        <f>IF(IFERROR(VLOOKUP($D116,party!$A:$D,2,0),"")="","",IFERROR(VLOOKUP($D116,party!$A:$D,2,0),""))</f>
        <v/>
      </c>
      <c r="R116" t="str">
        <f>IF(IFERROR(VLOOKUP($D116,party!$A:$D,3,0),"")="","",IFERROR(VLOOKUP($D116,party!$A:$D,3,0),""))</f>
        <v>https://en.wikipedia.org/wiki/Republican_Party_(United_States)</v>
      </c>
      <c r="S116" t="str">
        <f>IF(IFERROR(VLOOKUP($D116,party!$A:$D,4,0),"")="","",IFERROR(VLOOKUP($D116,party!$A:$D,4,0),""))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16">
        <f t="shared" si="9"/>
        <v>0.48</v>
      </c>
      <c r="U116" t="str">
        <f t="shared" si="14"/>
        <v>48th</v>
      </c>
      <c r="V116" t="b">
        <v>0</v>
      </c>
      <c r="W116" t="s">
        <v>181</v>
      </c>
      <c r="X116" t="str">
        <f t="shared" si="13"/>
        <v/>
      </c>
      <c r="Y116" t="str">
        <f t="shared" si="11"/>
        <v>Gerald Ford and 1 more</v>
      </c>
      <c r="Z116" t="str">
        <f t="shared" si="12"/>
        <v>https://en.wikipedia.org/wiki/1976_United_States_presidential_election</v>
      </c>
    </row>
    <row r="117" spans="1:26" s="7" customFormat="1" x14ac:dyDescent="0.25">
      <c r="A117">
        <v>48</v>
      </c>
      <c r="B117">
        <f>VLOOKUP(D117,party!A:E,5,0)</f>
        <v>26</v>
      </c>
      <c r="C117">
        <v>1976</v>
      </c>
      <c r="D117" s="14" t="s">
        <v>21</v>
      </c>
      <c r="E117" t="s">
        <v>68</v>
      </c>
      <c r="F117"/>
      <c r="G117" s="5">
        <v>40831881</v>
      </c>
      <c r="H117" s="33">
        <v>0.501</v>
      </c>
      <c r="I117" s="42">
        <v>297</v>
      </c>
      <c r="J117" s="41">
        <v>240</v>
      </c>
      <c r="K117" s="41">
        <v>1</v>
      </c>
      <c r="L117" s="41"/>
      <c r="M117" s="41"/>
      <c r="N117" s="41"/>
      <c r="O117" s="41"/>
      <c r="P117" t="str">
        <f t="shared" si="8"/>
        <v>50.1%</v>
      </c>
      <c r="Q117" t="str">
        <f>IF(IFERROR(VLOOKUP($D117,party!$A:$D,2,0),"")="","",IFERROR(VLOOKUP($D117,party!$A:$D,2,0),""))</f>
        <v/>
      </c>
      <c r="R117" t="str">
        <f>IF(IFERROR(VLOOKUP($D117,party!$A:$D,3,0),"")="","",IFERROR(VLOOKUP($D117,party!$A:$D,3,0),""))</f>
        <v>https://en.wikipedia.org/wiki/Democratic_Party_(United_States)</v>
      </c>
      <c r="S117" t="str">
        <f>IF(IFERROR(VLOOKUP($D117,party!$A:$D,4,0),"")="","",IFERROR(VLOOKUP($D117,party!$A:$D,4,0),""))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17">
        <f t="shared" si="9"/>
        <v>0.501</v>
      </c>
      <c r="U117" t="str">
        <f t="shared" si="14"/>
        <v>48th</v>
      </c>
      <c r="V117" t="b">
        <v>1</v>
      </c>
      <c r="W117" t="s">
        <v>171</v>
      </c>
      <c r="X117" t="str">
        <f t="shared" si="13"/>
        <v/>
      </c>
      <c r="Y117" t="str">
        <f t="shared" si="11"/>
        <v/>
      </c>
      <c r="Z117" t="str">
        <f t="shared" si="12"/>
        <v>https://en.wikipedia.org/wiki/1976_United_States_presidential_election</v>
      </c>
    </row>
    <row r="118" spans="1:26" s="7" customFormat="1" x14ac:dyDescent="0.25">
      <c r="A118">
        <v>49</v>
      </c>
      <c r="B118">
        <f>VLOOKUP(D118,party!A:E,5,0)</f>
        <v>17</v>
      </c>
      <c r="C118">
        <v>1980</v>
      </c>
      <c r="D118" s="10" t="s">
        <v>33</v>
      </c>
      <c r="E118" t="s">
        <v>69</v>
      </c>
      <c r="F118"/>
      <c r="G118" s="5">
        <v>43903230</v>
      </c>
      <c r="H118" s="33">
        <v>0.50700000000000001</v>
      </c>
      <c r="I118" s="42">
        <v>489</v>
      </c>
      <c r="J118" s="41"/>
      <c r="K118" s="41"/>
      <c r="L118" s="41"/>
      <c r="M118" s="41"/>
      <c r="N118" s="41"/>
      <c r="O118" s="41"/>
      <c r="P118" t="str">
        <f t="shared" si="8"/>
        <v>50.7%</v>
      </c>
      <c r="Q118" t="str">
        <f>IF(IFERROR(VLOOKUP($D118,party!$A:$D,2,0),"")="","",IFERROR(VLOOKUP($D118,party!$A:$D,2,0),""))</f>
        <v/>
      </c>
      <c r="R118" t="str">
        <f>IF(IFERROR(VLOOKUP($D118,party!$A:$D,3,0),"")="","",IFERROR(VLOOKUP($D118,party!$A:$D,3,0),""))</f>
        <v>https://en.wikipedia.org/wiki/Republican_Party_(United_States)</v>
      </c>
      <c r="S118" t="str">
        <f>IF(IFERROR(VLOOKUP($D118,party!$A:$D,4,0),"")="","",IFERROR(VLOOKUP($D118,party!$A:$D,4,0),""))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18">
        <f t="shared" si="9"/>
        <v>0.50700000000000001</v>
      </c>
      <c r="U118" t="str">
        <f t="shared" si="14"/>
        <v>49th</v>
      </c>
      <c r="V118" t="b">
        <v>1</v>
      </c>
      <c r="W118" t="s">
        <v>171</v>
      </c>
      <c r="X118" t="str">
        <f t="shared" si="13"/>
        <v/>
      </c>
      <c r="Y118" t="str">
        <f t="shared" si="11"/>
        <v/>
      </c>
      <c r="Z118" t="str">
        <f t="shared" si="12"/>
        <v>https://en.wikipedia.org/wiki/1980_United_States_presidential_election</v>
      </c>
    </row>
    <row r="119" spans="1:26" s="7" customFormat="1" x14ac:dyDescent="0.25">
      <c r="A119">
        <v>49</v>
      </c>
      <c r="B119">
        <f>VLOOKUP(D119,party!A:E,5,0)</f>
        <v>26</v>
      </c>
      <c r="C119">
        <v>1980</v>
      </c>
      <c r="D119" s="14" t="s">
        <v>21</v>
      </c>
      <c r="E119"/>
      <c r="F119"/>
      <c r="G119" s="5">
        <v>35480115</v>
      </c>
      <c r="H119" s="33">
        <v>0.41</v>
      </c>
      <c r="I119" s="42">
        <v>49</v>
      </c>
      <c r="J119" s="41"/>
      <c r="K119" s="41"/>
      <c r="L119" s="41"/>
      <c r="M119" s="41"/>
      <c r="N119" s="41"/>
      <c r="O119" s="41"/>
      <c r="P119" t="str">
        <f t="shared" si="8"/>
        <v>41.0%</v>
      </c>
      <c r="Q119" t="str">
        <f>IF(IFERROR(VLOOKUP($D119,party!$A:$D,2,0),"")="","",IFERROR(VLOOKUP($D119,party!$A:$D,2,0),""))</f>
        <v/>
      </c>
      <c r="R119" t="str">
        <f>IF(IFERROR(VLOOKUP($D119,party!$A:$D,3,0),"")="","",IFERROR(VLOOKUP($D119,party!$A:$D,3,0),""))</f>
        <v>https://en.wikipedia.org/wiki/Democratic_Party_(United_States)</v>
      </c>
      <c r="S119" t="str">
        <f>IF(IFERROR(VLOOKUP($D119,party!$A:$D,4,0),"")="","",IFERROR(VLOOKUP($D119,party!$A:$D,4,0),""))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19">
        <f t="shared" si="9"/>
        <v>0.41</v>
      </c>
      <c r="U119" t="str">
        <f t="shared" si="14"/>
        <v>49th</v>
      </c>
      <c r="V119" t="b">
        <v>0</v>
      </c>
      <c r="W119" t="s">
        <v>68</v>
      </c>
      <c r="X119" t="str">
        <f t="shared" si="13"/>
        <v/>
      </c>
      <c r="Y119" t="str">
        <f t="shared" si="11"/>
        <v>Jimmy Carter</v>
      </c>
      <c r="Z119" t="str">
        <f t="shared" si="12"/>
        <v>https://en.wikipedia.org/wiki/1980_United_States_presidential_election</v>
      </c>
    </row>
    <row r="120" spans="1:26" s="7" customFormat="1" x14ac:dyDescent="0.25">
      <c r="A120">
        <v>49</v>
      </c>
      <c r="B120">
        <f>VLOOKUP(D120,party!A:E,5,0)</f>
        <v>1</v>
      </c>
      <c r="C120">
        <v>1980</v>
      </c>
      <c r="D120" s="20" t="s">
        <v>3</v>
      </c>
      <c r="E120"/>
      <c r="F120"/>
      <c r="G120" s="5">
        <v>5719850</v>
      </c>
      <c r="H120" s="33">
        <v>6.6000000000000003E-2</v>
      </c>
      <c r="I120" s="42">
        <v>0</v>
      </c>
      <c r="J120" s="41"/>
      <c r="K120" s="41"/>
      <c r="L120" s="41"/>
      <c r="M120" s="41"/>
      <c r="N120" s="41"/>
      <c r="O120" s="41"/>
      <c r="P120" t="str">
        <f t="shared" si="8"/>
        <v>6.6%</v>
      </c>
      <c r="Q120" t="str">
        <f>IF(IFERROR(VLOOKUP($D120,party!$A:$D,2,0),"")="","",IFERROR(VLOOKUP($D120,party!$A:$D,2,0),""))</f>
        <v>Not a party.</v>
      </c>
      <c r="R120" t="str">
        <f>IF(IFERROR(VLOOKUP($D120,party!$A:$D,3,0),"")="","",IFERROR(VLOOKUP($D120,party!$A:$D,3,0),""))</f>
        <v>https://en.wikipedia.org/wiki/Independent_politician</v>
      </c>
      <c r="S120" t="str">
        <f>IF(IFERROR(VLOOKUP($D120,party!$A:$D,4,0),"")="","",IFERROR(VLOOKUP($D120,party!$A:$D,4,0),""))</f>
        <v>An independent, non-partisan politician or non-affiliated politician is a politician not affiliated with any political party or bureaucratic association. There are numerous reasons why someone may stand for office as an independent.
George Washington is the only U.S. president elected as an independent to date. Washington opposed the development of political parties. He feared that partisanship would eventually destroy the country, and famously warned against "the baneful effects of the spirit of party" in his 1796 Farewell Address.</v>
      </c>
      <c r="T120">
        <f t="shared" si="9"/>
        <v>6.6000000000000003E-2</v>
      </c>
      <c r="U120" t="str">
        <f t="shared" si="14"/>
        <v>49th</v>
      </c>
      <c r="V120" t="b">
        <v>0</v>
      </c>
      <c r="W120" t="s">
        <v>164</v>
      </c>
      <c r="X120" t="str">
        <f t="shared" si="13"/>
        <v/>
      </c>
      <c r="Y120" t="str">
        <f t="shared" si="11"/>
        <v>John B. Anderson</v>
      </c>
      <c r="Z120" t="str">
        <f t="shared" si="12"/>
        <v>https://en.wikipedia.org/wiki/1980_United_States_presidential_election</v>
      </c>
    </row>
    <row r="121" spans="1:26" s="7" customFormat="1" x14ac:dyDescent="0.25">
      <c r="A121">
        <v>50</v>
      </c>
      <c r="B121">
        <f>VLOOKUP(D121,party!A:E,5,0)</f>
        <v>26</v>
      </c>
      <c r="C121">
        <v>1984</v>
      </c>
      <c r="D121" s="14" t="s">
        <v>21</v>
      </c>
      <c r="E121"/>
      <c r="F121"/>
      <c r="G121" s="5">
        <v>37577352</v>
      </c>
      <c r="H121" s="33">
        <v>0.40600000000000003</v>
      </c>
      <c r="I121" s="42">
        <v>13</v>
      </c>
      <c r="J121" s="41"/>
      <c r="K121" s="41"/>
      <c r="L121" s="41"/>
      <c r="M121" s="41"/>
      <c r="N121" s="41"/>
      <c r="O121" s="41"/>
      <c r="P121" t="str">
        <f t="shared" si="8"/>
        <v>40.6%</v>
      </c>
      <c r="Q121" t="str">
        <f>IF(IFERROR(VLOOKUP($D121,party!$A:$D,2,0),"")="","",IFERROR(VLOOKUP($D121,party!$A:$D,2,0),""))</f>
        <v/>
      </c>
      <c r="R121" t="str">
        <f>IF(IFERROR(VLOOKUP($D121,party!$A:$D,3,0),"")="","",IFERROR(VLOOKUP($D121,party!$A:$D,3,0),""))</f>
        <v>https://en.wikipedia.org/wiki/Democratic_Party_(United_States)</v>
      </c>
      <c r="S121" t="str">
        <f>IF(IFERROR(VLOOKUP($D121,party!$A:$D,4,0),"")="","",IFERROR(VLOOKUP($D121,party!$A:$D,4,0),""))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21">
        <f t="shared" si="9"/>
        <v>0.40600000000000003</v>
      </c>
      <c r="U121" t="str">
        <f t="shared" si="14"/>
        <v>50th</v>
      </c>
      <c r="V121" t="b">
        <v>0</v>
      </c>
      <c r="W121" t="s">
        <v>165</v>
      </c>
      <c r="X121" t="str">
        <f t="shared" si="13"/>
        <v/>
      </c>
      <c r="Y121" t="str">
        <f t="shared" si="11"/>
        <v>Walter Mondale</v>
      </c>
      <c r="Z121" t="str">
        <f t="shared" si="12"/>
        <v>https://en.wikipedia.org/wiki/1984_United_States_presidential_election</v>
      </c>
    </row>
    <row r="122" spans="1:26" s="7" customFormat="1" x14ac:dyDescent="0.25">
      <c r="A122">
        <v>50</v>
      </c>
      <c r="B122">
        <f>VLOOKUP(D122,party!A:E,5,0)</f>
        <v>17</v>
      </c>
      <c r="C122">
        <v>1984</v>
      </c>
      <c r="D122" s="10" t="s">
        <v>33</v>
      </c>
      <c r="E122" t="s">
        <v>69</v>
      </c>
      <c r="F122"/>
      <c r="G122" s="5">
        <v>54455472</v>
      </c>
      <c r="H122" s="33">
        <v>0.58799999999999997</v>
      </c>
      <c r="I122" s="42">
        <v>525</v>
      </c>
      <c r="J122" s="41"/>
      <c r="K122" s="41"/>
      <c r="L122" s="41"/>
      <c r="M122" s="41"/>
      <c r="N122" s="41"/>
      <c r="O122" s="41"/>
      <c r="P122" t="str">
        <f t="shared" si="8"/>
        <v>58.8%</v>
      </c>
      <c r="Q122" t="str">
        <f>IF(IFERROR(VLOOKUP($D122,party!$A:$D,2,0),"")="","",IFERROR(VLOOKUP($D122,party!$A:$D,2,0),""))</f>
        <v/>
      </c>
      <c r="R122" t="str">
        <f>IF(IFERROR(VLOOKUP($D122,party!$A:$D,3,0),"")="","",IFERROR(VLOOKUP($D122,party!$A:$D,3,0),""))</f>
        <v>https://en.wikipedia.org/wiki/Republican_Party_(United_States)</v>
      </c>
      <c r="S122" t="str">
        <f>IF(IFERROR(VLOOKUP($D122,party!$A:$D,4,0),"")="","",IFERROR(VLOOKUP($D122,party!$A:$D,4,0),""))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22">
        <f t="shared" si="9"/>
        <v>0.58799999999999997</v>
      </c>
      <c r="U122" t="str">
        <f t="shared" si="14"/>
        <v>50th</v>
      </c>
      <c r="V122" t="b">
        <v>1</v>
      </c>
      <c r="W122" t="s">
        <v>171</v>
      </c>
      <c r="X122" t="str">
        <f t="shared" si="13"/>
        <v/>
      </c>
      <c r="Y122" t="str">
        <f t="shared" si="11"/>
        <v/>
      </c>
      <c r="Z122" t="str">
        <f t="shared" si="12"/>
        <v>https://en.wikipedia.org/wiki/1984_United_States_presidential_election</v>
      </c>
    </row>
    <row r="123" spans="1:26" s="7" customFormat="1" x14ac:dyDescent="0.25">
      <c r="A123">
        <v>51</v>
      </c>
      <c r="B123">
        <f>VLOOKUP(D123,party!A:E,5,0)</f>
        <v>26</v>
      </c>
      <c r="C123">
        <v>1988</v>
      </c>
      <c r="D123" s="14" t="s">
        <v>21</v>
      </c>
      <c r="E123"/>
      <c r="F123"/>
      <c r="G123" s="5">
        <v>41809476</v>
      </c>
      <c r="H123" s="33">
        <v>0.45600000000000002</v>
      </c>
      <c r="I123" s="42">
        <v>112</v>
      </c>
      <c r="J123" s="41"/>
      <c r="K123" s="41"/>
      <c r="L123" s="41"/>
      <c r="M123" s="41"/>
      <c r="N123" s="41"/>
      <c r="O123" s="41"/>
      <c r="P123" t="str">
        <f t="shared" si="8"/>
        <v>45.6%</v>
      </c>
      <c r="Q123" t="str">
        <f>IF(IFERROR(VLOOKUP($D123,party!$A:$D,2,0),"")="","",IFERROR(VLOOKUP($D123,party!$A:$D,2,0),""))</f>
        <v/>
      </c>
      <c r="R123" t="str">
        <f>IF(IFERROR(VLOOKUP($D123,party!$A:$D,3,0),"")="","",IFERROR(VLOOKUP($D123,party!$A:$D,3,0),""))</f>
        <v>https://en.wikipedia.org/wiki/Democratic_Party_(United_States)</v>
      </c>
      <c r="S123" t="str">
        <f>IF(IFERROR(VLOOKUP($D123,party!$A:$D,4,0),"")="","",IFERROR(VLOOKUP($D123,party!$A:$D,4,0),""))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23">
        <f t="shared" si="9"/>
        <v>0.45600000000000002</v>
      </c>
      <c r="U123" t="str">
        <f t="shared" si="14"/>
        <v>51st</v>
      </c>
      <c r="V123" t="b">
        <v>0</v>
      </c>
      <c r="W123" t="s">
        <v>182</v>
      </c>
      <c r="X123" t="str">
        <f t="shared" si="13"/>
        <v/>
      </c>
      <c r="Y123" t="str">
        <f t="shared" si="11"/>
        <v>Michael Dukakis and 1 more</v>
      </c>
      <c r="Z123" t="str">
        <f t="shared" si="12"/>
        <v>https://en.wikipedia.org/wiki/1988_United_States_presidential_election</v>
      </c>
    </row>
    <row r="124" spans="1:26" s="7" customFormat="1" x14ac:dyDescent="0.25">
      <c r="A124">
        <v>51</v>
      </c>
      <c r="B124">
        <f>VLOOKUP(D124,party!A:E,5,0)</f>
        <v>17</v>
      </c>
      <c r="C124">
        <v>1988</v>
      </c>
      <c r="D124" s="10" t="s">
        <v>33</v>
      </c>
      <c r="E124" t="s">
        <v>70</v>
      </c>
      <c r="F124"/>
      <c r="G124" s="5">
        <v>48886597</v>
      </c>
      <c r="H124" s="33">
        <v>0.53400000000000003</v>
      </c>
      <c r="I124" s="42">
        <v>426</v>
      </c>
      <c r="J124" s="41">
        <v>111</v>
      </c>
      <c r="K124" s="41">
        <v>1</v>
      </c>
      <c r="L124" s="41"/>
      <c r="M124" s="41"/>
      <c r="N124" s="41"/>
      <c r="O124" s="41"/>
      <c r="P124" t="str">
        <f t="shared" si="8"/>
        <v>53.4%</v>
      </c>
      <c r="Q124" t="str">
        <f>IF(IFERROR(VLOOKUP($D124,party!$A:$D,2,0),"")="","",IFERROR(VLOOKUP($D124,party!$A:$D,2,0),""))</f>
        <v/>
      </c>
      <c r="R124" t="str">
        <f>IF(IFERROR(VLOOKUP($D124,party!$A:$D,3,0),"")="","",IFERROR(VLOOKUP($D124,party!$A:$D,3,0),""))</f>
        <v>https://en.wikipedia.org/wiki/Republican_Party_(United_States)</v>
      </c>
      <c r="S124" t="str">
        <f>IF(IFERROR(VLOOKUP($D124,party!$A:$D,4,0),"")="","",IFERROR(VLOOKUP($D124,party!$A:$D,4,0),""))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24">
        <f t="shared" si="9"/>
        <v>0.53400000000000003</v>
      </c>
      <c r="U124" t="str">
        <f t="shared" si="14"/>
        <v>51st</v>
      </c>
      <c r="V124" t="b">
        <v>1</v>
      </c>
      <c r="W124" t="s">
        <v>171</v>
      </c>
      <c r="X124" t="str">
        <f t="shared" si="13"/>
        <v/>
      </c>
      <c r="Y124" t="str">
        <f t="shared" si="11"/>
        <v/>
      </c>
      <c r="Z124" t="str">
        <f t="shared" si="12"/>
        <v>https://en.wikipedia.org/wiki/1988_United_States_presidential_election</v>
      </c>
    </row>
    <row r="125" spans="1:26" s="7" customFormat="1" x14ac:dyDescent="0.25">
      <c r="A125">
        <v>52</v>
      </c>
      <c r="B125">
        <f>VLOOKUP(D125,party!A:E,5,0)</f>
        <v>26</v>
      </c>
      <c r="C125">
        <v>1992</v>
      </c>
      <c r="D125" s="14" t="s">
        <v>21</v>
      </c>
      <c r="E125" t="s">
        <v>71</v>
      </c>
      <c r="F125"/>
      <c r="G125" s="5">
        <v>44909806</v>
      </c>
      <c r="H125" s="33">
        <v>0.43</v>
      </c>
      <c r="I125" s="42">
        <v>370</v>
      </c>
      <c r="J125" s="41"/>
      <c r="K125" s="41"/>
      <c r="L125" s="41"/>
      <c r="M125" s="41"/>
      <c r="N125" s="41"/>
      <c r="O125" s="41"/>
      <c r="P125" t="str">
        <f t="shared" si="8"/>
        <v>43.0%</v>
      </c>
      <c r="Q125" t="str">
        <f>IF(IFERROR(VLOOKUP($D125,party!$A:$D,2,0),"")="","",IFERROR(VLOOKUP($D125,party!$A:$D,2,0),""))</f>
        <v/>
      </c>
      <c r="R125" t="str">
        <f>IF(IFERROR(VLOOKUP($D125,party!$A:$D,3,0),"")="","",IFERROR(VLOOKUP($D125,party!$A:$D,3,0),""))</f>
        <v>https://en.wikipedia.org/wiki/Democratic_Party_(United_States)</v>
      </c>
      <c r="S125" t="str">
        <f>IF(IFERROR(VLOOKUP($D125,party!$A:$D,4,0),"")="","",IFERROR(VLOOKUP($D125,party!$A:$D,4,0),""))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25">
        <f t="shared" si="9"/>
        <v>0.43</v>
      </c>
      <c r="U125" t="str">
        <f t="shared" si="14"/>
        <v>52nd</v>
      </c>
      <c r="V125" t="b">
        <v>1</v>
      </c>
      <c r="W125" t="s">
        <v>171</v>
      </c>
      <c r="X125" t="str">
        <f t="shared" si="13"/>
        <v/>
      </c>
      <c r="Y125" t="str">
        <f t="shared" si="11"/>
        <v/>
      </c>
      <c r="Z125" t="str">
        <f t="shared" si="12"/>
        <v>https://en.wikipedia.org/wiki/1992_United_States_presidential_election</v>
      </c>
    </row>
    <row r="126" spans="1:26" s="7" customFormat="1" x14ac:dyDescent="0.25">
      <c r="A126">
        <v>52</v>
      </c>
      <c r="B126">
        <f>VLOOKUP(D126,party!A:E,5,0)</f>
        <v>17</v>
      </c>
      <c r="C126">
        <v>1992</v>
      </c>
      <c r="D126" s="10" t="s">
        <v>33</v>
      </c>
      <c r="E126"/>
      <c r="F126"/>
      <c r="G126" s="5">
        <v>39104550</v>
      </c>
      <c r="H126" s="33">
        <v>0.374</v>
      </c>
      <c r="I126" s="42">
        <v>168</v>
      </c>
      <c r="J126" s="41"/>
      <c r="K126" s="41"/>
      <c r="L126" s="41"/>
      <c r="M126" s="41"/>
      <c r="N126" s="41"/>
      <c r="O126" s="41"/>
      <c r="P126" t="str">
        <f t="shared" si="8"/>
        <v>37.4%</v>
      </c>
      <c r="Q126" t="str">
        <f>IF(IFERROR(VLOOKUP($D126,party!$A:$D,2,0),"")="","",IFERROR(VLOOKUP($D126,party!$A:$D,2,0),""))</f>
        <v/>
      </c>
      <c r="R126" t="str">
        <f>IF(IFERROR(VLOOKUP($D126,party!$A:$D,3,0),"")="","",IFERROR(VLOOKUP($D126,party!$A:$D,3,0),""))</f>
        <v>https://en.wikipedia.org/wiki/Republican_Party_(United_States)</v>
      </c>
      <c r="S126" t="str">
        <f>IF(IFERROR(VLOOKUP($D126,party!$A:$D,4,0),"")="","",IFERROR(VLOOKUP($D126,party!$A:$D,4,0),""))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26">
        <f t="shared" si="9"/>
        <v>0.374</v>
      </c>
      <c r="U126" t="str">
        <f t="shared" si="14"/>
        <v>52nd</v>
      </c>
      <c r="V126" t="b">
        <v>0</v>
      </c>
      <c r="W126" t="s">
        <v>70</v>
      </c>
      <c r="X126" t="str">
        <f t="shared" si="13"/>
        <v/>
      </c>
      <c r="Y126" t="str">
        <f t="shared" si="11"/>
        <v>George H. W. Bush</v>
      </c>
      <c r="Z126" t="str">
        <f t="shared" si="12"/>
        <v>https://en.wikipedia.org/wiki/1992_United_States_presidential_election</v>
      </c>
    </row>
    <row r="127" spans="1:26" s="7" customFormat="1" x14ac:dyDescent="0.25">
      <c r="A127">
        <v>52</v>
      </c>
      <c r="B127">
        <f>VLOOKUP(D127,party!A:E,5,0)</f>
        <v>1</v>
      </c>
      <c r="C127">
        <v>1992</v>
      </c>
      <c r="D127" s="20" t="s">
        <v>3</v>
      </c>
      <c r="E127"/>
      <c r="F127"/>
      <c r="G127" s="5">
        <v>9743821</v>
      </c>
      <c r="H127" s="33">
        <v>0.189</v>
      </c>
      <c r="I127" s="42">
        <v>0</v>
      </c>
      <c r="J127" s="41"/>
      <c r="K127" s="41"/>
      <c r="L127" s="41"/>
      <c r="M127" s="41"/>
      <c r="N127" s="41"/>
      <c r="O127" s="41"/>
      <c r="P127" t="str">
        <f t="shared" si="8"/>
        <v>18.9%</v>
      </c>
      <c r="Q127" t="str">
        <f>IF(IFERROR(VLOOKUP($D127,party!$A:$D,2,0),"")="","",IFERROR(VLOOKUP($D127,party!$A:$D,2,0),""))</f>
        <v>Not a party.</v>
      </c>
      <c r="R127" t="str">
        <f>IF(IFERROR(VLOOKUP($D127,party!$A:$D,3,0),"")="","",IFERROR(VLOOKUP($D127,party!$A:$D,3,0),""))</f>
        <v>https://en.wikipedia.org/wiki/Independent_politician</v>
      </c>
      <c r="S127" t="str">
        <f>IF(IFERROR(VLOOKUP($D127,party!$A:$D,4,0),"")="","",IFERROR(VLOOKUP($D127,party!$A:$D,4,0),""))</f>
        <v>An independent, non-partisan politician or non-affiliated politician is a politician not affiliated with any political party or bureaucratic association. There are numerous reasons why someone may stand for office as an independent.
George Washington is the only U.S. president elected as an independent to date. Washington opposed the development of political parties. He feared that partisanship would eventually destroy the country, and famously warned against "the baneful effects of the spirit of party" in his 1796 Farewell Address.</v>
      </c>
      <c r="T127">
        <f t="shared" si="9"/>
        <v>0.189</v>
      </c>
      <c r="U127" t="str">
        <f t="shared" si="14"/>
        <v>52nd</v>
      </c>
      <c r="V127" t="b">
        <v>0</v>
      </c>
      <c r="W127" t="s">
        <v>166</v>
      </c>
      <c r="X127" t="str">
        <f t="shared" si="13"/>
        <v/>
      </c>
      <c r="Y127" t="str">
        <f t="shared" si="11"/>
        <v>Ross Perot</v>
      </c>
      <c r="Z127" t="str">
        <f t="shared" si="12"/>
        <v>https://en.wikipedia.org/wiki/1992_United_States_presidential_election</v>
      </c>
    </row>
    <row r="128" spans="1:26" s="7" customFormat="1" x14ac:dyDescent="0.25">
      <c r="A128">
        <v>53</v>
      </c>
      <c r="B128">
        <f>VLOOKUP(D128,party!A:E,5,0)</f>
        <v>26</v>
      </c>
      <c r="C128">
        <v>1996</v>
      </c>
      <c r="D128" s="14" t="s">
        <v>21</v>
      </c>
      <c r="E128" t="s">
        <v>71</v>
      </c>
      <c r="F128"/>
      <c r="G128" s="5">
        <v>47401185</v>
      </c>
      <c r="H128" s="33">
        <v>0.49199999999999999</v>
      </c>
      <c r="I128" s="42">
        <v>379</v>
      </c>
      <c r="J128" s="41"/>
      <c r="K128" s="41"/>
      <c r="L128" s="41"/>
      <c r="M128" s="41"/>
      <c r="N128" s="41"/>
      <c r="O128" s="41"/>
      <c r="P128" t="str">
        <f t="shared" si="8"/>
        <v>49.2%</v>
      </c>
      <c r="Q128" t="str">
        <f>IF(IFERROR(VLOOKUP($D128,party!$A:$D,2,0),"")="","",IFERROR(VLOOKUP($D128,party!$A:$D,2,0),""))</f>
        <v/>
      </c>
      <c r="R128" t="str">
        <f>IF(IFERROR(VLOOKUP($D128,party!$A:$D,3,0),"")="","",IFERROR(VLOOKUP($D128,party!$A:$D,3,0),""))</f>
        <v>https://en.wikipedia.org/wiki/Democratic_Party_(United_States)</v>
      </c>
      <c r="S128" t="str">
        <f>IF(IFERROR(VLOOKUP($D128,party!$A:$D,4,0),"")="","",IFERROR(VLOOKUP($D128,party!$A:$D,4,0),""))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28">
        <f t="shared" si="9"/>
        <v>0.49199999999999999</v>
      </c>
      <c r="U128" t="str">
        <f t="shared" si="14"/>
        <v>53rd</v>
      </c>
      <c r="V128" t="b">
        <v>1</v>
      </c>
      <c r="W128" t="s">
        <v>171</v>
      </c>
      <c r="X128" t="str">
        <f t="shared" si="13"/>
        <v/>
      </c>
      <c r="Y128" t="str">
        <f t="shared" si="11"/>
        <v/>
      </c>
      <c r="Z128" t="str">
        <f t="shared" si="12"/>
        <v>https://en.wikipedia.org/wiki/1996_United_States_presidential_election</v>
      </c>
    </row>
    <row r="129" spans="1:26" x14ac:dyDescent="0.25">
      <c r="A129">
        <v>53</v>
      </c>
      <c r="B129">
        <f>VLOOKUP(D129,party!A:E,5,0)</f>
        <v>17</v>
      </c>
      <c r="C129">
        <v>1996</v>
      </c>
      <c r="D129" s="10" t="s">
        <v>33</v>
      </c>
      <c r="G129" s="5">
        <v>39197469</v>
      </c>
      <c r="H129" s="33">
        <v>0.40699999999999997</v>
      </c>
      <c r="I129" s="42">
        <v>159</v>
      </c>
      <c r="P129" t="str">
        <f t="shared" si="8"/>
        <v>40.7%</v>
      </c>
      <c r="Q129" t="str">
        <f>IF(IFERROR(VLOOKUP($D129,party!$A:$D,2,0),"")="","",IFERROR(VLOOKUP($D129,party!$A:$D,2,0),""))</f>
        <v/>
      </c>
      <c r="R129" t="str">
        <f>IF(IFERROR(VLOOKUP($D129,party!$A:$D,3,0),"")="","",IFERROR(VLOOKUP($D129,party!$A:$D,3,0),""))</f>
        <v>https://en.wikipedia.org/wiki/Republican_Party_(United_States)</v>
      </c>
      <c r="S129" t="str">
        <f>IF(IFERROR(VLOOKUP($D129,party!$A:$D,4,0),"")="","",IFERROR(VLOOKUP($D129,party!$A:$D,4,0),""))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29">
        <f t="shared" si="9"/>
        <v>0.40699999999999997</v>
      </c>
      <c r="U129" t="str">
        <f t="shared" si="14"/>
        <v>53rd</v>
      </c>
      <c r="V129" t="b">
        <v>0</v>
      </c>
      <c r="W129" t="s">
        <v>167</v>
      </c>
      <c r="X129" t="str">
        <f t="shared" si="13"/>
        <v/>
      </c>
      <c r="Y129" t="str">
        <f t="shared" si="11"/>
        <v>Bob Dole</v>
      </c>
      <c r="Z129" t="str">
        <f t="shared" si="12"/>
        <v>https://en.wikipedia.org/wiki/1996_United_States_presidential_election</v>
      </c>
    </row>
    <row r="130" spans="1:26" x14ac:dyDescent="0.25">
      <c r="A130">
        <v>53</v>
      </c>
      <c r="B130">
        <f>VLOOKUP(D130,party!A:E,5,0)</f>
        <v>9</v>
      </c>
      <c r="C130">
        <v>1996</v>
      </c>
      <c r="D130" t="s">
        <v>72</v>
      </c>
      <c r="G130" s="5">
        <v>8085294</v>
      </c>
      <c r="H130" s="33">
        <v>8.4000000000000005E-2</v>
      </c>
      <c r="I130" s="42">
        <v>0</v>
      </c>
      <c r="P130" t="str">
        <f t="shared" si="8"/>
        <v>8.4%</v>
      </c>
      <c r="Q130" t="str">
        <f>IF(IFERROR(VLOOKUP($D130,party!$A:$D,2,0),"")="","",IFERROR(VLOOKUP($D130,party!$A:$D,2,0),""))</f>
        <v/>
      </c>
      <c r="R130" t="str">
        <f>IF(IFERROR(VLOOKUP($D130,party!$A:$D,3,0),"")="","",IFERROR(VLOOKUP($D130,party!$A:$D,3,0),""))</f>
        <v>https://en.wikipedia.org/wiki/Reform_Party_of_the_United_States_of_America</v>
      </c>
      <c r="S130" t="str">
        <f>IF(IFERROR(VLOOKUP($D130,party!$A:$D,4,0),"")="","",IFERROR(VLOOKUP($D130,party!$A:$D,4,0),""))</f>
        <v>The Reform Party of the United States of America (RPUSA), generally known as the Reform Party USA or the Reform Party, is a centrist political party in the United States, founded in 1995 by Ross Perot.
Perot believed Americans were disillusioned with the state of politics as being corrupt and unable to deal with vital issues. After he received 18.9 percent of the popular vote as an independent candidate in the 1992 presidential election, he founded the Reform Party and presented it as a viable alternative to Republicans and Democrats.</v>
      </c>
      <c r="T130">
        <f t="shared" si="9"/>
        <v>8.4000000000000005E-2</v>
      </c>
      <c r="U130" t="str">
        <f t="shared" ref="U130:U144" si="15">_xlfn.CONCAT(TEXT(A130,"#"), IF(AND(A130&gt;=10, A130&lt;=19), "th", IF(MOD(A130,10) = 1, "st", IF(MOD(A130,10) = 2, "nd", IF(MOD(A130,10) = 3, "rd", "th")))))</f>
        <v>53rd</v>
      </c>
      <c r="V130" t="b">
        <v>0</v>
      </c>
      <c r="W130" t="s">
        <v>166</v>
      </c>
      <c r="X130" t="str">
        <f t="shared" si="13"/>
        <v/>
      </c>
      <c r="Y130" t="str">
        <f t="shared" si="11"/>
        <v>Ross Perot</v>
      </c>
      <c r="Z130" t="str">
        <f t="shared" si="12"/>
        <v>https://en.wikipedia.org/wiki/1996_United_States_presidential_election</v>
      </c>
    </row>
    <row r="131" spans="1:26" x14ac:dyDescent="0.25">
      <c r="A131">
        <v>54</v>
      </c>
      <c r="B131">
        <f>VLOOKUP(D131,party!A:E,5,0)</f>
        <v>26</v>
      </c>
      <c r="C131">
        <v>2000</v>
      </c>
      <c r="D131" s="14" t="s">
        <v>21</v>
      </c>
      <c r="G131" s="5">
        <v>50999897</v>
      </c>
      <c r="H131" s="33">
        <v>0.48399999999999999</v>
      </c>
      <c r="I131" s="43">
        <v>266</v>
      </c>
      <c r="P131" t="str">
        <f t="shared" ref="P131:P144" si="16">TEXT(H131,"0.0%")</f>
        <v>48.4%</v>
      </c>
      <c r="Q131" t="str">
        <f>IF(IFERROR(VLOOKUP($D131,party!$A:$D,2,0),"")="","",IFERROR(VLOOKUP($D131,party!$A:$D,2,0),""))</f>
        <v/>
      </c>
      <c r="R131" t="str">
        <f>IF(IFERROR(VLOOKUP($D131,party!$A:$D,3,0),"")="","",IFERROR(VLOOKUP($D131,party!$A:$D,3,0),""))</f>
        <v>https://en.wikipedia.org/wiki/Democratic_Party_(United_States)</v>
      </c>
      <c r="S131" t="str">
        <f>IF(IFERROR(VLOOKUP($D131,party!$A:$D,4,0),"")="","",IFERROR(VLOOKUP($D131,party!$A:$D,4,0),""))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31">
        <f t="shared" ref="T131:T144" si="17">IF(H131="", "", VALUE(H131))</f>
        <v>0.48399999999999999</v>
      </c>
      <c r="U131" t="str">
        <f t="shared" si="15"/>
        <v>54th</v>
      </c>
      <c r="V131" t="b">
        <v>0</v>
      </c>
      <c r="W131" t="s">
        <v>168</v>
      </c>
      <c r="X131" t="str">
        <f t="shared" ref="X131:X143" si="18">IF(V131, W131, "")</f>
        <v/>
      </c>
      <c r="Y131" t="str">
        <f t="shared" ref="Y131:Y143" si="19">IF(NOT(V131), W131, "")</f>
        <v>Al Gore</v>
      </c>
      <c r="Z131" t="str">
        <f t="shared" si="12"/>
        <v>https://en.wikipedia.org/wiki/2000_United_States_presidential_election</v>
      </c>
    </row>
    <row r="132" spans="1:26" x14ac:dyDescent="0.25">
      <c r="A132">
        <v>54</v>
      </c>
      <c r="B132">
        <f>VLOOKUP(D132,party!A:E,5,0)</f>
        <v>17</v>
      </c>
      <c r="C132">
        <v>2000</v>
      </c>
      <c r="D132" s="10" t="s">
        <v>33</v>
      </c>
      <c r="E132" t="s">
        <v>73</v>
      </c>
      <c r="G132" s="5">
        <v>50456002</v>
      </c>
      <c r="H132" s="33">
        <v>0.47899999999999998</v>
      </c>
      <c r="I132" s="44">
        <v>271</v>
      </c>
      <c r="P132" t="str">
        <f t="shared" si="16"/>
        <v>47.9%</v>
      </c>
      <c r="Q132" t="str">
        <f>IF(IFERROR(VLOOKUP($D132,party!$A:$D,2,0),"")="","",IFERROR(VLOOKUP($D132,party!$A:$D,2,0),""))</f>
        <v/>
      </c>
      <c r="R132" t="str">
        <f>IF(IFERROR(VLOOKUP($D132,party!$A:$D,3,0),"")="","",IFERROR(VLOOKUP($D132,party!$A:$D,3,0),""))</f>
        <v>https://en.wikipedia.org/wiki/Republican_Party_(United_States)</v>
      </c>
      <c r="S132" t="str">
        <f>IF(IFERROR(VLOOKUP($D132,party!$A:$D,4,0),"")="","",IFERROR(VLOOKUP($D132,party!$A:$D,4,0),""))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32">
        <f t="shared" si="17"/>
        <v>0.47899999999999998</v>
      </c>
      <c r="U132" t="str">
        <f t="shared" si="15"/>
        <v>54th</v>
      </c>
      <c r="V132" t="b">
        <v>1</v>
      </c>
      <c r="W132" t="s">
        <v>171</v>
      </c>
      <c r="X132" t="str">
        <f t="shared" si="18"/>
        <v/>
      </c>
      <c r="Y132" t="str">
        <f t="shared" si="19"/>
        <v/>
      </c>
      <c r="Z132" t="str">
        <f t="shared" si="12"/>
        <v>https://en.wikipedia.org/wiki/2000_United_States_presidential_election</v>
      </c>
    </row>
    <row r="133" spans="1:26" x14ac:dyDescent="0.25">
      <c r="A133">
        <v>55</v>
      </c>
      <c r="B133">
        <f>VLOOKUP(D133,party!A:E,5,0)</f>
        <v>26</v>
      </c>
      <c r="C133">
        <v>2004</v>
      </c>
      <c r="D133" s="14" t="s">
        <v>21</v>
      </c>
      <c r="G133" s="23">
        <v>59028449</v>
      </c>
      <c r="H133" s="33">
        <v>0.48299999999999998</v>
      </c>
      <c r="I133" s="42">
        <v>252</v>
      </c>
      <c r="P133" t="str">
        <f t="shared" si="16"/>
        <v>48.3%</v>
      </c>
      <c r="Q133" t="str">
        <f>IF(IFERROR(VLOOKUP($D133,party!$A:$D,2,0),"")="","",IFERROR(VLOOKUP($D133,party!$A:$D,2,0),""))</f>
        <v/>
      </c>
      <c r="R133" t="str">
        <f>IF(IFERROR(VLOOKUP($D133,party!$A:$D,3,0),"")="","",IFERROR(VLOOKUP($D133,party!$A:$D,3,0),""))</f>
        <v>https://en.wikipedia.org/wiki/Democratic_Party_(United_States)</v>
      </c>
      <c r="S133" t="str">
        <f>IF(IFERROR(VLOOKUP($D133,party!$A:$D,4,0),"")="","",IFERROR(VLOOKUP($D133,party!$A:$D,4,0),""))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33">
        <f t="shared" si="17"/>
        <v>0.48299999999999998</v>
      </c>
      <c r="U133" t="str">
        <f t="shared" si="15"/>
        <v>55th</v>
      </c>
      <c r="V133" t="b">
        <v>0</v>
      </c>
      <c r="W133" t="s">
        <v>183</v>
      </c>
      <c r="X133" t="str">
        <f t="shared" si="18"/>
        <v/>
      </c>
      <c r="Y133" t="str">
        <f t="shared" si="19"/>
        <v>John Kerry and 1 more</v>
      </c>
      <c r="Z133" t="str">
        <f t="shared" si="12"/>
        <v>https://en.wikipedia.org/wiki/2004_United_States_presidential_election</v>
      </c>
    </row>
    <row r="134" spans="1:26" x14ac:dyDescent="0.25">
      <c r="A134">
        <v>55</v>
      </c>
      <c r="B134">
        <f>VLOOKUP(D134,party!A:E,5,0)</f>
        <v>17</v>
      </c>
      <c r="C134">
        <v>2004</v>
      </c>
      <c r="D134" s="10" t="s">
        <v>33</v>
      </c>
      <c r="E134" t="s">
        <v>73</v>
      </c>
      <c r="G134" s="5">
        <v>62040610</v>
      </c>
      <c r="H134" s="33">
        <v>0.50700000000000001</v>
      </c>
      <c r="I134" s="42">
        <v>286</v>
      </c>
      <c r="J134" s="41">
        <v>251</v>
      </c>
      <c r="K134" s="41">
        <v>1</v>
      </c>
      <c r="P134" t="str">
        <f t="shared" si="16"/>
        <v>50.7%</v>
      </c>
      <c r="Q134" t="str">
        <f>IF(IFERROR(VLOOKUP($D134,party!$A:$D,2,0),"")="","",IFERROR(VLOOKUP($D134,party!$A:$D,2,0),""))</f>
        <v/>
      </c>
      <c r="R134" t="str">
        <f>IF(IFERROR(VLOOKUP($D134,party!$A:$D,3,0),"")="","",IFERROR(VLOOKUP($D134,party!$A:$D,3,0),""))</f>
        <v>https://en.wikipedia.org/wiki/Republican_Party_(United_States)</v>
      </c>
      <c r="S134" t="str">
        <f>IF(IFERROR(VLOOKUP($D134,party!$A:$D,4,0),"")="","",IFERROR(VLOOKUP($D134,party!$A:$D,4,0),""))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34">
        <f t="shared" si="17"/>
        <v>0.50700000000000001</v>
      </c>
      <c r="U134" t="str">
        <f t="shared" si="15"/>
        <v>55th</v>
      </c>
      <c r="V134" t="b">
        <v>1</v>
      </c>
      <c r="W134" t="s">
        <v>171</v>
      </c>
      <c r="X134" t="str">
        <f t="shared" si="18"/>
        <v/>
      </c>
      <c r="Y134" t="str">
        <f t="shared" si="19"/>
        <v/>
      </c>
      <c r="Z134" t="str">
        <f t="shared" ref="Z134:Z144" si="20">_xlfn.CONCAT("https://en.wikipedia.org/wiki/", C134, "_United_States_presidential_election")</f>
        <v>https://en.wikipedia.org/wiki/2004_United_States_presidential_election</v>
      </c>
    </row>
    <row r="135" spans="1:26" x14ac:dyDescent="0.25">
      <c r="A135">
        <v>56</v>
      </c>
      <c r="B135">
        <f>VLOOKUP(D135,party!A:E,5,0)</f>
        <v>26</v>
      </c>
      <c r="C135">
        <v>2008</v>
      </c>
      <c r="D135" s="14" t="s">
        <v>21</v>
      </c>
      <c r="E135" t="s">
        <v>74</v>
      </c>
      <c r="G135" s="5">
        <v>69498516</v>
      </c>
      <c r="H135" s="33">
        <v>0.52900000000000003</v>
      </c>
      <c r="I135" s="42">
        <v>365</v>
      </c>
      <c r="P135" t="str">
        <f t="shared" si="16"/>
        <v>52.9%</v>
      </c>
      <c r="Q135" t="str">
        <f>IF(IFERROR(VLOOKUP($D135,party!$A:$D,2,0),"")="","",IFERROR(VLOOKUP($D135,party!$A:$D,2,0),""))</f>
        <v/>
      </c>
      <c r="R135" t="str">
        <f>IF(IFERROR(VLOOKUP($D135,party!$A:$D,3,0),"")="","",IFERROR(VLOOKUP($D135,party!$A:$D,3,0),""))</f>
        <v>https://en.wikipedia.org/wiki/Democratic_Party_(United_States)</v>
      </c>
      <c r="S135" t="str">
        <f>IF(IFERROR(VLOOKUP($D135,party!$A:$D,4,0),"")="","",IFERROR(VLOOKUP($D135,party!$A:$D,4,0),""))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35">
        <f t="shared" si="17"/>
        <v>0.52900000000000003</v>
      </c>
      <c r="U135" t="str">
        <f t="shared" si="15"/>
        <v>56th</v>
      </c>
      <c r="V135" t="b">
        <v>1</v>
      </c>
      <c r="W135" t="s">
        <v>171</v>
      </c>
      <c r="X135" t="str">
        <f t="shared" si="18"/>
        <v/>
      </c>
      <c r="Y135" t="str">
        <f t="shared" si="19"/>
        <v/>
      </c>
      <c r="Z135" t="str">
        <f t="shared" si="20"/>
        <v>https://en.wikipedia.org/wiki/2008_United_States_presidential_election</v>
      </c>
    </row>
    <row r="136" spans="1:26" x14ac:dyDescent="0.25">
      <c r="A136">
        <v>56</v>
      </c>
      <c r="B136">
        <f>VLOOKUP(D136,party!A:E,5,0)</f>
        <v>17</v>
      </c>
      <c r="C136">
        <v>2008</v>
      </c>
      <c r="D136" s="10" t="s">
        <v>33</v>
      </c>
      <c r="G136" s="5">
        <v>59948323</v>
      </c>
      <c r="H136" s="33">
        <v>0.45700000000000002</v>
      </c>
      <c r="I136" s="42">
        <v>173</v>
      </c>
      <c r="P136" t="str">
        <f t="shared" si="16"/>
        <v>45.7%</v>
      </c>
      <c r="Q136" t="str">
        <f>IF(IFERROR(VLOOKUP($D136,party!$A:$D,2,0),"")="","",IFERROR(VLOOKUP($D136,party!$A:$D,2,0),""))</f>
        <v/>
      </c>
      <c r="R136" t="str">
        <f>IF(IFERROR(VLOOKUP($D136,party!$A:$D,3,0),"")="","",IFERROR(VLOOKUP($D136,party!$A:$D,3,0),""))</f>
        <v>https://en.wikipedia.org/wiki/Republican_Party_(United_States)</v>
      </c>
      <c r="S136" t="str">
        <f>IF(IFERROR(VLOOKUP($D136,party!$A:$D,4,0),"")="","",IFERROR(VLOOKUP($D136,party!$A:$D,4,0),""))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36">
        <f t="shared" si="17"/>
        <v>0.45700000000000002</v>
      </c>
      <c r="U136" t="str">
        <f t="shared" si="15"/>
        <v>56th</v>
      </c>
      <c r="V136" t="b">
        <v>0</v>
      </c>
      <c r="W136" t="s">
        <v>169</v>
      </c>
      <c r="X136" t="str">
        <f t="shared" si="18"/>
        <v/>
      </c>
      <c r="Y136" t="str">
        <f t="shared" si="19"/>
        <v>John McCain</v>
      </c>
      <c r="Z136" t="str">
        <f t="shared" si="20"/>
        <v>https://en.wikipedia.org/wiki/2008_United_States_presidential_election</v>
      </c>
    </row>
    <row r="137" spans="1:26" x14ac:dyDescent="0.25">
      <c r="A137">
        <v>57</v>
      </c>
      <c r="B137">
        <f>VLOOKUP(D137,party!A:E,5,0)</f>
        <v>26</v>
      </c>
      <c r="C137">
        <v>2012</v>
      </c>
      <c r="D137" s="14" t="s">
        <v>21</v>
      </c>
      <c r="E137" t="s">
        <v>74</v>
      </c>
      <c r="G137" s="5">
        <v>65915795</v>
      </c>
      <c r="H137" s="33">
        <v>0.51100000000000001</v>
      </c>
      <c r="I137" s="42">
        <v>332</v>
      </c>
      <c r="P137" t="str">
        <f t="shared" si="16"/>
        <v>51.1%</v>
      </c>
      <c r="Q137" t="str">
        <f>IF(IFERROR(VLOOKUP($D137,party!$A:$D,2,0),"")="","",IFERROR(VLOOKUP($D137,party!$A:$D,2,0),""))</f>
        <v/>
      </c>
      <c r="R137" t="str">
        <f>IF(IFERROR(VLOOKUP($D137,party!$A:$D,3,0),"")="","",IFERROR(VLOOKUP($D137,party!$A:$D,3,0),""))</f>
        <v>https://en.wikipedia.org/wiki/Democratic_Party_(United_States)</v>
      </c>
      <c r="S137" t="str">
        <f>IF(IFERROR(VLOOKUP($D137,party!$A:$D,4,0),"")="","",IFERROR(VLOOKUP($D137,party!$A:$D,4,0),""))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37">
        <f t="shared" si="17"/>
        <v>0.51100000000000001</v>
      </c>
      <c r="U137" t="str">
        <f t="shared" si="15"/>
        <v>57th</v>
      </c>
      <c r="V137" t="b">
        <v>1</v>
      </c>
      <c r="W137" t="s">
        <v>171</v>
      </c>
      <c r="X137" t="str">
        <f t="shared" si="18"/>
        <v/>
      </c>
      <c r="Y137" t="str">
        <f t="shared" si="19"/>
        <v/>
      </c>
      <c r="Z137" t="str">
        <f t="shared" si="20"/>
        <v>https://en.wikipedia.org/wiki/2012_United_States_presidential_election</v>
      </c>
    </row>
    <row r="138" spans="1:26" x14ac:dyDescent="0.25">
      <c r="A138">
        <v>57</v>
      </c>
      <c r="B138">
        <f>VLOOKUP(D138,party!A:E,5,0)</f>
        <v>17</v>
      </c>
      <c r="C138">
        <v>2012</v>
      </c>
      <c r="D138" s="10" t="s">
        <v>33</v>
      </c>
      <c r="G138" s="5">
        <v>60933504</v>
      </c>
      <c r="H138" s="33">
        <v>0.47199999999999998</v>
      </c>
      <c r="I138" s="42">
        <v>206</v>
      </c>
      <c r="P138" t="str">
        <f t="shared" si="16"/>
        <v>47.2%</v>
      </c>
      <c r="Q138" t="str">
        <f>IF(IFERROR(VLOOKUP($D138,party!$A:$D,2,0),"")="","",IFERROR(VLOOKUP($D138,party!$A:$D,2,0),""))</f>
        <v/>
      </c>
      <c r="R138" t="str">
        <f>IF(IFERROR(VLOOKUP($D138,party!$A:$D,3,0),"")="","",IFERROR(VLOOKUP($D138,party!$A:$D,3,0),""))</f>
        <v>https://en.wikipedia.org/wiki/Republican_Party_(United_States)</v>
      </c>
      <c r="S138" t="str">
        <f>IF(IFERROR(VLOOKUP($D138,party!$A:$D,4,0),"")="","",IFERROR(VLOOKUP($D138,party!$A:$D,4,0),""))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38">
        <f t="shared" si="17"/>
        <v>0.47199999999999998</v>
      </c>
      <c r="U138" t="str">
        <f t="shared" si="15"/>
        <v>57th</v>
      </c>
      <c r="V138" t="b">
        <v>0</v>
      </c>
      <c r="W138" t="s">
        <v>170</v>
      </c>
      <c r="X138" t="str">
        <f t="shared" si="18"/>
        <v/>
      </c>
      <c r="Y138" t="str">
        <f t="shared" si="19"/>
        <v>Mitt Romney</v>
      </c>
      <c r="Z138" t="str">
        <f t="shared" si="20"/>
        <v>https://en.wikipedia.org/wiki/2012_United_States_presidential_election</v>
      </c>
    </row>
    <row r="139" spans="1:26" x14ac:dyDescent="0.25">
      <c r="A139">
        <v>58</v>
      </c>
      <c r="B139">
        <f>VLOOKUP(D139,party!A:E,5,0)</f>
        <v>26</v>
      </c>
      <c r="C139">
        <v>2016</v>
      </c>
      <c r="D139" s="14" t="s">
        <v>21</v>
      </c>
      <c r="G139" s="23">
        <v>65962290</v>
      </c>
      <c r="H139" s="33">
        <v>0.48280000000000001</v>
      </c>
      <c r="I139" s="40">
        <v>229</v>
      </c>
      <c r="P139" t="str">
        <f t="shared" si="16"/>
        <v>48.3%</v>
      </c>
      <c r="Q139" t="str">
        <f>IF(IFERROR(VLOOKUP($D139,party!$A:$D,2,0),"")="","",IFERROR(VLOOKUP($D139,party!$A:$D,2,0),""))</f>
        <v/>
      </c>
      <c r="R139" t="str">
        <f>IF(IFERROR(VLOOKUP($D139,party!$A:$D,3,0),"")="","",IFERROR(VLOOKUP($D139,party!$A:$D,3,0),""))</f>
        <v>https://en.wikipedia.org/wiki/Democratic_Party_(United_States)</v>
      </c>
      <c r="S139" t="str">
        <f>IF(IFERROR(VLOOKUP($D139,party!$A:$D,4,0),"")="","",IFERROR(VLOOKUP($D139,party!$A:$D,4,0),""))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39">
        <f t="shared" si="17"/>
        <v>0.48280000000000001</v>
      </c>
      <c r="U139" t="str">
        <f t="shared" si="15"/>
        <v>58th</v>
      </c>
      <c r="V139" t="b">
        <v>0</v>
      </c>
      <c r="W139" s="13" t="s">
        <v>184</v>
      </c>
      <c r="X139" s="13" t="str">
        <f t="shared" si="18"/>
        <v/>
      </c>
      <c r="Y139" s="13" t="str">
        <f t="shared" si="19"/>
        <v>Hillary Clinton and 2 more</v>
      </c>
      <c r="Z139" t="str">
        <f t="shared" si="20"/>
        <v>https://en.wikipedia.org/wiki/2016_United_States_presidential_election</v>
      </c>
    </row>
    <row r="140" spans="1:26" x14ac:dyDescent="0.25">
      <c r="A140">
        <v>58</v>
      </c>
      <c r="B140">
        <f>VLOOKUP(D140,party!A:E,5,0)</f>
        <v>17</v>
      </c>
      <c r="C140">
        <v>2016</v>
      </c>
      <c r="D140" s="10" t="s">
        <v>33</v>
      </c>
      <c r="E140" t="s">
        <v>75</v>
      </c>
      <c r="G140" s="23">
        <v>62987661</v>
      </c>
      <c r="H140" s="33">
        <v>0.46100000000000002</v>
      </c>
      <c r="I140" s="40">
        <v>309</v>
      </c>
      <c r="J140" s="41">
        <v>227</v>
      </c>
      <c r="K140" s="41">
        <v>2</v>
      </c>
      <c r="L140" s="50">
        <v>65853514</v>
      </c>
      <c r="M140" s="50">
        <v>108776</v>
      </c>
      <c r="P140" t="str">
        <f t="shared" si="16"/>
        <v>46.1%</v>
      </c>
      <c r="Q140" t="str">
        <f>IF(IFERROR(VLOOKUP($D140,party!$A:$D,2,0),"")="","",IFERROR(VLOOKUP($D140,party!$A:$D,2,0),""))</f>
        <v/>
      </c>
      <c r="R140" t="str">
        <f>IF(IFERROR(VLOOKUP($D140,party!$A:$D,3,0),"")="","",IFERROR(VLOOKUP($D140,party!$A:$D,3,0),""))</f>
        <v>https://en.wikipedia.org/wiki/Republican_Party_(United_States)</v>
      </c>
      <c r="S140" t="str">
        <f>IF(IFERROR(VLOOKUP($D140,party!$A:$D,4,0),"")="","",IFERROR(VLOOKUP($D140,party!$A:$D,4,0),""))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40">
        <f t="shared" si="17"/>
        <v>0.46100000000000002</v>
      </c>
      <c r="U140" t="str">
        <f t="shared" si="15"/>
        <v>58th</v>
      </c>
      <c r="V140" t="b">
        <v>1</v>
      </c>
      <c r="W140" s="13" t="s">
        <v>185</v>
      </c>
      <c r="X140" s="13" t="str">
        <f t="shared" si="18"/>
        <v>Colin Powell and 2 more</v>
      </c>
      <c r="Y140" s="13" t="str">
        <f t="shared" si="19"/>
        <v/>
      </c>
      <c r="Z140" t="str">
        <f t="shared" si="20"/>
        <v>https://en.wikipedia.org/wiki/2016_United_States_presidential_election</v>
      </c>
    </row>
    <row r="141" spans="1:26" x14ac:dyDescent="0.25">
      <c r="A141">
        <v>59</v>
      </c>
      <c r="B141">
        <f>VLOOKUP(D141,party!A:E,5,0)</f>
        <v>26</v>
      </c>
      <c r="C141">
        <v>2020</v>
      </c>
      <c r="D141" s="14" t="s">
        <v>21</v>
      </c>
      <c r="E141" t="s">
        <v>76</v>
      </c>
      <c r="G141" s="5">
        <v>81268924</v>
      </c>
      <c r="H141" s="33">
        <v>0.51300000000000001</v>
      </c>
      <c r="I141" s="42">
        <v>306</v>
      </c>
      <c r="J141" s="41">
        <v>304</v>
      </c>
      <c r="K141" s="41">
        <v>5</v>
      </c>
      <c r="L141" s="50">
        <v>62984828</v>
      </c>
      <c r="M141" s="41">
        <v>124</v>
      </c>
      <c r="N141" s="41">
        <v>25</v>
      </c>
      <c r="O141" s="41">
        <v>2684</v>
      </c>
      <c r="P141" t="str">
        <f t="shared" si="16"/>
        <v>51.3%</v>
      </c>
      <c r="Q141" t="str">
        <f>IF(IFERROR(VLOOKUP($D141,party!$A:$D,2,0),"")="","",IFERROR(VLOOKUP($D141,party!$A:$D,2,0),""))</f>
        <v/>
      </c>
      <c r="R141" t="str">
        <f>IF(IFERROR(VLOOKUP($D141,party!$A:$D,3,0),"")="","",IFERROR(VLOOKUP($D141,party!$A:$D,3,0),""))</f>
        <v>https://en.wikipedia.org/wiki/Democratic_Party_(United_States)</v>
      </c>
      <c r="S141" t="str">
        <f>IF(IFERROR(VLOOKUP($D141,party!$A:$D,4,0),"")="","",IFERROR(VLOOKUP($D141,party!$A:$D,4,0),""))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41">
        <f t="shared" si="17"/>
        <v>0.51300000000000001</v>
      </c>
      <c r="U141" t="str">
        <f t="shared" si="15"/>
        <v>59th</v>
      </c>
      <c r="V141" t="b">
        <v>1</v>
      </c>
      <c r="W141" t="s">
        <v>171</v>
      </c>
      <c r="X141" t="str">
        <f t="shared" si="18"/>
        <v/>
      </c>
      <c r="Y141" t="str">
        <f t="shared" si="19"/>
        <v/>
      </c>
      <c r="Z141" t="str">
        <f t="shared" si="20"/>
        <v>https://en.wikipedia.org/wiki/2020_United_States_presidential_election</v>
      </c>
    </row>
    <row r="142" spans="1:26" x14ac:dyDescent="0.25">
      <c r="A142">
        <v>59</v>
      </c>
      <c r="B142">
        <f>VLOOKUP(D142,party!A:E,5,0)</f>
        <v>17</v>
      </c>
      <c r="C142">
        <v>2020</v>
      </c>
      <c r="D142" s="10" t="s">
        <v>33</v>
      </c>
      <c r="G142" s="5">
        <v>74216154</v>
      </c>
      <c r="H142" s="33">
        <v>0.46899999999999997</v>
      </c>
      <c r="I142" s="42">
        <v>232</v>
      </c>
      <c r="P142" t="str">
        <f t="shared" si="16"/>
        <v>46.9%</v>
      </c>
      <c r="Q142" t="str">
        <f>IF(IFERROR(VLOOKUP($D142,party!$A:$D,2,0),"")="","",IFERROR(VLOOKUP($D142,party!$A:$D,2,0),""))</f>
        <v/>
      </c>
      <c r="R142" t="str">
        <f>IF(IFERROR(VLOOKUP($D142,party!$A:$D,3,0),"")="","",IFERROR(VLOOKUP($D142,party!$A:$D,3,0),""))</f>
        <v>https://en.wikipedia.org/wiki/Republican_Party_(United_States)</v>
      </c>
      <c r="S142" t="str">
        <f>IF(IFERROR(VLOOKUP($D142,party!$A:$D,4,0),"")="","",IFERROR(VLOOKUP($D142,party!$A:$D,4,0),""))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42">
        <f t="shared" si="17"/>
        <v>0.46899999999999997</v>
      </c>
      <c r="U142" t="str">
        <f t="shared" si="15"/>
        <v>59th</v>
      </c>
      <c r="V142" t="b">
        <v>0</v>
      </c>
      <c r="W142" t="s">
        <v>75</v>
      </c>
      <c r="X142" t="str">
        <f t="shared" si="18"/>
        <v/>
      </c>
      <c r="Y142" t="str">
        <f t="shared" si="19"/>
        <v>Donald Trump</v>
      </c>
      <c r="Z142" t="str">
        <f t="shared" si="20"/>
        <v>https://en.wikipedia.org/wiki/2020_United_States_presidential_election</v>
      </c>
    </row>
    <row r="143" spans="1:26" ht="15.75" x14ac:dyDescent="0.25">
      <c r="A143">
        <v>60</v>
      </c>
      <c r="B143">
        <f>VLOOKUP(D143,party!A:E,5,0)</f>
        <v>26</v>
      </c>
      <c r="C143">
        <v>2024</v>
      </c>
      <c r="D143" s="14" t="s">
        <v>21</v>
      </c>
      <c r="G143" s="54">
        <v>75015834</v>
      </c>
      <c r="H143" s="33">
        <v>0.48299999999999998</v>
      </c>
      <c r="I143" s="42">
        <v>226</v>
      </c>
      <c r="P143" t="str">
        <f t="shared" si="16"/>
        <v>48.3%</v>
      </c>
      <c r="R143" t="str">
        <f>IF(IFERROR(VLOOKUP($D143,party!$A:$D,3,0),"")="","",IFERROR(VLOOKUP($D143,party!$A:$D,3,0),""))</f>
        <v>https://en.wikipedia.org/wiki/Democratic_Party_(United_States)</v>
      </c>
      <c r="S143" t="str">
        <f>IF(IFERROR(VLOOKUP($D143,party!$A:$D,4,0),"")="","",IFERROR(VLOOKUP($D143,party!$A:$D,4,0),""))</f>
        <v>The Democratic Party is one of the two major contemporary political parties in the United States. Since the late 1850s, its main political rival has been the Republican Party; the two parties have since dominated American politics.
The Democratic Party was founded in 1828. The Democratic Party is the world's oldest active political party. It initially supported expansive presidential power, the interests of slave states, agrarianism, and geographical expansionism, while opposing a national bank and high tariffs. It split in 1860 over slavery and won the presidency only twice between 1860 and 1912, although it won the popular vote two more times in that period.</v>
      </c>
      <c r="T143">
        <f t="shared" si="17"/>
        <v>0.48299999999999998</v>
      </c>
      <c r="U143" t="str">
        <f t="shared" si="15"/>
        <v>60th</v>
      </c>
      <c r="V143" t="b">
        <v>0</v>
      </c>
      <c r="W143" t="s">
        <v>272</v>
      </c>
      <c r="X143" t="str">
        <f t="shared" si="18"/>
        <v/>
      </c>
      <c r="Y143" t="str">
        <f t="shared" si="19"/>
        <v>Kamala Harris</v>
      </c>
      <c r="Z143" t="str">
        <f t="shared" si="20"/>
        <v>https://en.wikipedia.org/wiki/2024_United_States_presidential_election</v>
      </c>
    </row>
    <row r="144" spans="1:26" ht="15.75" x14ac:dyDescent="0.25">
      <c r="A144">
        <v>60</v>
      </c>
      <c r="B144">
        <f>VLOOKUP(D144,party!A:E,5,0)</f>
        <v>17</v>
      </c>
      <c r="C144">
        <v>2024</v>
      </c>
      <c r="D144" s="10" t="s">
        <v>33</v>
      </c>
      <c r="E144" t="s">
        <v>75</v>
      </c>
      <c r="G144" s="54">
        <v>77302169</v>
      </c>
      <c r="H144" s="33">
        <v>0.498</v>
      </c>
      <c r="I144" s="42">
        <v>312</v>
      </c>
      <c r="P144" t="str">
        <f t="shared" si="16"/>
        <v>49.8%</v>
      </c>
      <c r="R144" t="str">
        <f>IF(IFERROR(VLOOKUP($D144,party!$A:$D,3,0),"")="","",IFERROR(VLOOKUP($D144,party!$A:$D,3,0),""))</f>
        <v>https://en.wikipedia.org/wiki/Republican_Party_(United_States)</v>
      </c>
      <c r="S144" t="str">
        <f>IF(IFERROR(VLOOKUP($D144,party!$A:$D,4,0),"")="","",IFERROR(VLOOKUP($D144,party!$A:$D,4,0),""))</f>
        <v>The Republican Party, also known as the GOP (Grand Old Party), is one of the two major contemporary political parties in the United States. It emerged as the main political rival of the then-dominant Democratic Party in the mid-1850s, and the two parties have dominated American politics ever since.
The party was founded in 1854 by anti-slavery activists who opposed the Kansas–Nebraska Act, an act which allowed for the potential expansion of chattel slavery into the western territories of Kansas and Nebraska. It supported classical liberalism and economic reform while opposing the expansion of slavery into the free territories. The party initially had a very limited presence in the South, but was successful in the North.</v>
      </c>
      <c r="T144">
        <f t="shared" si="17"/>
        <v>0.498</v>
      </c>
      <c r="U144" t="str">
        <f t="shared" si="15"/>
        <v>60th</v>
      </c>
      <c r="V144" t="b">
        <v>1</v>
      </c>
      <c r="Z144" t="str">
        <f t="shared" si="20"/>
        <v>https://en.wikipedia.org/wiki/2024_United_States_presidential_election</v>
      </c>
    </row>
  </sheetData>
  <conditionalFormatting sqref="B2:B144">
    <cfRule type="cellIs" dxfId="0" priority="2" operator="equal">
      <formula>0</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AEC38-EDDA-429E-B081-327BBDB2F9E3}">
  <dimension ref="A1:E70"/>
  <sheetViews>
    <sheetView workbookViewId="0">
      <selection activeCell="D19" sqref="D19"/>
    </sheetView>
  </sheetViews>
  <sheetFormatPr defaultRowHeight="15" x14ac:dyDescent="0.25"/>
  <cols>
    <col min="1" max="1" width="39.140625" bestFit="1" customWidth="1"/>
    <col min="2" max="2" width="11.28515625" bestFit="1" customWidth="1"/>
    <col min="3" max="3" width="34.28515625" customWidth="1"/>
    <col min="4" max="4" width="177.7109375" customWidth="1"/>
  </cols>
  <sheetData>
    <row r="1" spans="1:5" x14ac:dyDescent="0.25">
      <c r="A1" t="s">
        <v>2</v>
      </c>
      <c r="B1" s="35" t="s">
        <v>116</v>
      </c>
      <c r="C1" t="s">
        <v>118</v>
      </c>
      <c r="D1" t="s">
        <v>117</v>
      </c>
      <c r="E1" t="s">
        <v>106</v>
      </c>
    </row>
    <row r="2" spans="1:5" x14ac:dyDescent="0.25">
      <c r="A2" s="20" t="s">
        <v>3</v>
      </c>
      <c r="B2" t="s">
        <v>205</v>
      </c>
      <c r="C2" t="s">
        <v>196</v>
      </c>
      <c r="D2" t="s">
        <v>197</v>
      </c>
      <c r="E2">
        <v>1</v>
      </c>
    </row>
    <row r="3" spans="1:5" x14ac:dyDescent="0.25">
      <c r="A3" s="16" t="s">
        <v>24</v>
      </c>
      <c r="C3" t="s">
        <v>209</v>
      </c>
      <c r="D3" t="s">
        <v>193</v>
      </c>
      <c r="E3">
        <v>2</v>
      </c>
    </row>
    <row r="4" spans="1:5" x14ac:dyDescent="0.25">
      <c r="A4" s="22" t="s">
        <v>34</v>
      </c>
      <c r="C4" t="s">
        <v>214</v>
      </c>
      <c r="D4" t="s">
        <v>215</v>
      </c>
      <c r="E4">
        <v>3</v>
      </c>
    </row>
    <row r="5" spans="1:5" x14ac:dyDescent="0.25">
      <c r="A5" t="s">
        <v>37</v>
      </c>
      <c r="C5" t="s">
        <v>222</v>
      </c>
      <c r="D5" t="s">
        <v>225</v>
      </c>
      <c r="E5">
        <v>4</v>
      </c>
    </row>
    <row r="6" spans="1:5" x14ac:dyDescent="0.25">
      <c r="A6" t="s">
        <v>53</v>
      </c>
      <c r="C6" t="s">
        <v>234</v>
      </c>
      <c r="D6" t="s">
        <v>235</v>
      </c>
      <c r="E6">
        <v>5</v>
      </c>
    </row>
    <row r="7" spans="1:5" x14ac:dyDescent="0.25">
      <c r="A7" t="s">
        <v>52</v>
      </c>
      <c r="C7" t="s">
        <v>236</v>
      </c>
      <c r="D7" t="s">
        <v>237</v>
      </c>
      <c r="E7">
        <v>6</v>
      </c>
    </row>
    <row r="8" spans="1:5" x14ac:dyDescent="0.25">
      <c r="A8" t="s">
        <v>65</v>
      </c>
      <c r="C8" t="s">
        <v>242</v>
      </c>
      <c r="D8" t="s">
        <v>243</v>
      </c>
      <c r="E8">
        <v>7</v>
      </c>
    </row>
    <row r="9" spans="1:5" x14ac:dyDescent="0.25">
      <c r="A9" t="s">
        <v>67</v>
      </c>
      <c r="C9" t="s">
        <v>244</v>
      </c>
      <c r="D9" t="s">
        <v>245</v>
      </c>
      <c r="E9">
        <v>8</v>
      </c>
    </row>
    <row r="10" spans="1:5" x14ac:dyDescent="0.25">
      <c r="A10" t="s">
        <v>72</v>
      </c>
      <c r="C10" t="s">
        <v>246</v>
      </c>
      <c r="D10" t="s">
        <v>247</v>
      </c>
      <c r="E10">
        <v>9</v>
      </c>
    </row>
    <row r="11" spans="1:5" x14ac:dyDescent="0.25">
      <c r="A11" s="9" t="s">
        <v>4</v>
      </c>
      <c r="C11" t="s">
        <v>198</v>
      </c>
      <c r="D11" t="s">
        <v>189</v>
      </c>
      <c r="E11">
        <v>10</v>
      </c>
    </row>
    <row r="12" spans="1:5" x14ac:dyDescent="0.25">
      <c r="A12" s="8" t="s">
        <v>20</v>
      </c>
      <c r="B12" t="s">
        <v>205</v>
      </c>
      <c r="C12" t="s">
        <v>203</v>
      </c>
      <c r="D12" t="s">
        <v>192</v>
      </c>
      <c r="E12">
        <v>11</v>
      </c>
    </row>
    <row r="13" spans="1:5" x14ac:dyDescent="0.25">
      <c r="A13" s="11" t="s">
        <v>17</v>
      </c>
      <c r="B13" t="s">
        <v>205</v>
      </c>
      <c r="C13" t="s">
        <v>203</v>
      </c>
      <c r="D13" t="s">
        <v>192</v>
      </c>
      <c r="E13">
        <v>12</v>
      </c>
    </row>
    <row r="14" spans="1:5" x14ac:dyDescent="0.25">
      <c r="A14" s="15" t="s">
        <v>22</v>
      </c>
      <c r="C14" t="s">
        <v>207</v>
      </c>
      <c r="D14" t="s">
        <v>208</v>
      </c>
      <c r="E14">
        <v>13</v>
      </c>
    </row>
    <row r="15" spans="1:5" x14ac:dyDescent="0.25">
      <c r="A15" s="17" t="s">
        <v>25</v>
      </c>
      <c r="C15" t="s">
        <v>210</v>
      </c>
      <c r="D15" t="s">
        <v>194</v>
      </c>
      <c r="E15">
        <v>14</v>
      </c>
    </row>
    <row r="16" spans="1:5" x14ac:dyDescent="0.25">
      <c r="A16" s="18" t="s">
        <v>26</v>
      </c>
      <c r="C16" t="s">
        <v>211</v>
      </c>
      <c r="D16" t="s">
        <v>212</v>
      </c>
      <c r="E16">
        <v>15</v>
      </c>
    </row>
    <row r="17" spans="1:5" x14ac:dyDescent="0.25">
      <c r="A17" s="19" t="s">
        <v>30</v>
      </c>
      <c r="C17" t="s">
        <v>213</v>
      </c>
      <c r="D17" t="s">
        <v>195</v>
      </c>
      <c r="E17">
        <v>16</v>
      </c>
    </row>
    <row r="18" spans="1:5" x14ac:dyDescent="0.25">
      <c r="A18" s="10" t="s">
        <v>33</v>
      </c>
      <c r="C18" t="s">
        <v>216</v>
      </c>
      <c r="D18" t="s">
        <v>217</v>
      </c>
      <c r="E18">
        <v>17</v>
      </c>
    </row>
    <row r="19" spans="1:5" x14ac:dyDescent="0.25">
      <c r="A19" t="s">
        <v>40</v>
      </c>
      <c r="C19" t="s">
        <v>223</v>
      </c>
      <c r="D19" t="s">
        <v>226</v>
      </c>
      <c r="E19">
        <v>18</v>
      </c>
    </row>
    <row r="20" spans="1:5" x14ac:dyDescent="0.25">
      <c r="A20" t="s">
        <v>108</v>
      </c>
      <c r="C20" t="s">
        <v>224</v>
      </c>
      <c r="D20" t="s">
        <v>227</v>
      </c>
      <c r="E20">
        <v>19</v>
      </c>
    </row>
    <row r="21" spans="1:5" x14ac:dyDescent="0.25">
      <c r="A21" t="s">
        <v>109</v>
      </c>
      <c r="C21" t="s">
        <v>232</v>
      </c>
      <c r="D21" t="s">
        <v>233</v>
      </c>
      <c r="E21">
        <v>20</v>
      </c>
    </row>
    <row r="22" spans="1:5" x14ac:dyDescent="0.25">
      <c r="A22" s="21" t="s">
        <v>5</v>
      </c>
      <c r="B22" t="s">
        <v>205</v>
      </c>
      <c r="C22" t="s">
        <v>199</v>
      </c>
      <c r="D22" t="s">
        <v>200</v>
      </c>
      <c r="E22">
        <v>21</v>
      </c>
    </row>
    <row r="23" spans="1:5" x14ac:dyDescent="0.25">
      <c r="A23" s="29" t="s">
        <v>107</v>
      </c>
      <c r="B23" t="s">
        <v>205</v>
      </c>
      <c r="C23" t="s">
        <v>202</v>
      </c>
      <c r="D23" t="s">
        <v>191</v>
      </c>
      <c r="E23">
        <v>22</v>
      </c>
    </row>
    <row r="24" spans="1:5" x14ac:dyDescent="0.25">
      <c r="A24" s="11" t="s">
        <v>11</v>
      </c>
      <c r="C24" t="s">
        <v>201</v>
      </c>
      <c r="D24" t="s">
        <v>190</v>
      </c>
      <c r="E24">
        <v>23</v>
      </c>
    </row>
    <row r="25" spans="1:5" ht="15" customHeight="1" x14ac:dyDescent="0.25">
      <c r="A25" s="13" t="s">
        <v>19</v>
      </c>
      <c r="B25" t="s">
        <v>205</v>
      </c>
      <c r="C25" t="s">
        <v>203</v>
      </c>
      <c r="D25" t="s">
        <v>192</v>
      </c>
      <c r="E25">
        <v>24</v>
      </c>
    </row>
    <row r="26" spans="1:5" x14ac:dyDescent="0.25">
      <c r="A26" s="12" t="s">
        <v>18</v>
      </c>
      <c r="B26" t="s">
        <v>205</v>
      </c>
      <c r="C26" t="s">
        <v>203</v>
      </c>
      <c r="D26" t="s">
        <v>192</v>
      </c>
      <c r="E26">
        <v>25</v>
      </c>
    </row>
    <row r="27" spans="1:5" x14ac:dyDescent="0.25">
      <c r="A27" s="14" t="s">
        <v>21</v>
      </c>
      <c r="C27" t="s">
        <v>206</v>
      </c>
      <c r="D27" t="s">
        <v>204</v>
      </c>
      <c r="E27">
        <v>26</v>
      </c>
    </row>
    <row r="28" spans="1:5" x14ac:dyDescent="0.25">
      <c r="A28" s="14" t="s">
        <v>38</v>
      </c>
      <c r="B28" s="38" t="s">
        <v>205</v>
      </c>
      <c r="C28" t="s">
        <v>220</v>
      </c>
      <c r="D28" t="s">
        <v>221</v>
      </c>
      <c r="E28">
        <v>27</v>
      </c>
    </row>
    <row r="29" spans="1:5" x14ac:dyDescent="0.25">
      <c r="A29" t="s">
        <v>36</v>
      </c>
      <c r="B29" s="38" t="s">
        <v>205</v>
      </c>
      <c r="C29" t="s">
        <v>218</v>
      </c>
      <c r="D29" t="s">
        <v>219</v>
      </c>
      <c r="E29">
        <v>28</v>
      </c>
    </row>
    <row r="30" spans="1:5" x14ac:dyDescent="0.25">
      <c r="A30" t="s">
        <v>47</v>
      </c>
      <c r="C30" t="s">
        <v>229</v>
      </c>
      <c r="D30" t="s">
        <v>228</v>
      </c>
      <c r="E30">
        <v>29</v>
      </c>
    </row>
    <row r="31" spans="1:5" x14ac:dyDescent="0.25">
      <c r="A31" s="35" t="s">
        <v>48</v>
      </c>
      <c r="B31" s="38" t="s">
        <v>205</v>
      </c>
      <c r="C31" t="s">
        <v>230</v>
      </c>
      <c r="D31" t="s">
        <v>231</v>
      </c>
      <c r="E31">
        <v>30</v>
      </c>
    </row>
    <row r="32" spans="1:5" x14ac:dyDescent="0.25">
      <c r="A32" t="s">
        <v>59</v>
      </c>
      <c r="C32" t="s">
        <v>238</v>
      </c>
      <c r="D32" t="s">
        <v>239</v>
      </c>
      <c r="E32">
        <v>31</v>
      </c>
    </row>
    <row r="33" spans="1:5" x14ac:dyDescent="0.25">
      <c r="A33" t="s">
        <v>62</v>
      </c>
      <c r="B33" s="38" t="s">
        <v>205</v>
      </c>
      <c r="C33" t="s">
        <v>241</v>
      </c>
      <c r="D33" t="s">
        <v>240</v>
      </c>
      <c r="E33">
        <v>32</v>
      </c>
    </row>
    <row r="70" ht="23.25" customHeight="1" x14ac:dyDescent="0.25"/>
  </sheetData>
  <sortState xmlns:xlrd2="http://schemas.microsoft.com/office/spreadsheetml/2017/richdata2" ref="A2:E142">
    <sortCondition ref="E2:E14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54FE6-5340-42D9-B846-5A4891E0BFF8}">
  <dimension ref="A1:J15"/>
  <sheetViews>
    <sheetView tabSelected="1" workbookViewId="0">
      <selection activeCell="E22" sqref="E22"/>
    </sheetView>
  </sheetViews>
  <sheetFormatPr defaultRowHeight="15" x14ac:dyDescent="0.25"/>
  <cols>
    <col min="1" max="1" width="39.28515625" customWidth="1"/>
    <col min="2" max="2" width="31.85546875" bestFit="1" customWidth="1"/>
    <col min="3" max="3" width="9.85546875" bestFit="1" customWidth="1"/>
    <col min="4" max="4" width="9.28515625" bestFit="1" customWidth="1"/>
    <col min="5" max="5" width="15.42578125" bestFit="1" customWidth="1"/>
    <col min="6" max="6" width="14.85546875" bestFit="1" customWidth="1"/>
    <col min="7" max="7" width="21.140625" bestFit="1" customWidth="1"/>
    <col min="8" max="8" width="22" bestFit="1" customWidth="1"/>
    <col min="9" max="9" width="13.5703125" bestFit="1" customWidth="1"/>
  </cols>
  <sheetData>
    <row r="1" spans="1:10" x14ac:dyDescent="0.25">
      <c r="A1" t="s">
        <v>104</v>
      </c>
      <c r="B1" t="s">
        <v>84</v>
      </c>
      <c r="C1" t="s">
        <v>86</v>
      </c>
      <c r="D1" t="s">
        <v>87</v>
      </c>
      <c r="E1" t="s">
        <v>112</v>
      </c>
      <c r="F1" t="s">
        <v>111</v>
      </c>
      <c r="G1" t="s">
        <v>105</v>
      </c>
      <c r="H1" t="s">
        <v>101</v>
      </c>
      <c r="I1" t="s">
        <v>102</v>
      </c>
      <c r="J1" t="s">
        <v>250</v>
      </c>
    </row>
    <row r="2" spans="1:10" x14ac:dyDescent="0.25">
      <c r="A2" s="24" t="s">
        <v>83</v>
      </c>
      <c r="B2" s="24" t="s">
        <v>85</v>
      </c>
      <c r="C2">
        <v>1792</v>
      </c>
      <c r="D2">
        <v>1824</v>
      </c>
      <c r="E2">
        <v>1792</v>
      </c>
      <c r="F2">
        <v>1824</v>
      </c>
      <c r="G2" t="s">
        <v>103</v>
      </c>
      <c r="H2" t="s">
        <v>4</v>
      </c>
      <c r="I2">
        <v>1</v>
      </c>
      <c r="J2" t="s">
        <v>251</v>
      </c>
    </row>
    <row r="3" spans="1:10" x14ac:dyDescent="0.25">
      <c r="A3" s="24" t="s">
        <v>88</v>
      </c>
      <c r="B3" s="24" t="s">
        <v>89</v>
      </c>
      <c r="C3">
        <v>1828</v>
      </c>
      <c r="D3">
        <v>1854</v>
      </c>
      <c r="E3">
        <v>1828</v>
      </c>
      <c r="F3">
        <v>1854</v>
      </c>
      <c r="G3" t="s">
        <v>95</v>
      </c>
      <c r="H3" t="s">
        <v>21</v>
      </c>
      <c r="I3">
        <v>1</v>
      </c>
      <c r="J3" t="s">
        <v>252</v>
      </c>
    </row>
    <row r="4" spans="1:10" x14ac:dyDescent="0.25">
      <c r="A4" s="24" t="s">
        <v>90</v>
      </c>
      <c r="B4" s="24" t="s">
        <v>91</v>
      </c>
      <c r="C4">
        <v>1854</v>
      </c>
      <c r="D4" s="7">
        <v>1890</v>
      </c>
      <c r="E4">
        <v>1854</v>
      </c>
      <c r="F4" s="7" t="s">
        <v>258</v>
      </c>
      <c r="G4" t="s">
        <v>96</v>
      </c>
      <c r="H4" t="s">
        <v>21</v>
      </c>
      <c r="I4">
        <v>1</v>
      </c>
      <c r="J4" t="s">
        <v>253</v>
      </c>
    </row>
    <row r="5" spans="1:10" x14ac:dyDescent="0.25">
      <c r="A5" s="24" t="s">
        <v>92</v>
      </c>
      <c r="B5" s="24" t="s">
        <v>91</v>
      </c>
      <c r="C5">
        <v>1896</v>
      </c>
      <c r="D5">
        <v>1932</v>
      </c>
      <c r="E5">
        <v>1896</v>
      </c>
      <c r="F5">
        <v>1932</v>
      </c>
      <c r="G5" t="s">
        <v>97</v>
      </c>
      <c r="H5" t="s">
        <v>21</v>
      </c>
      <c r="I5">
        <v>1</v>
      </c>
      <c r="J5" t="s">
        <v>254</v>
      </c>
    </row>
    <row r="6" spans="1:10" x14ac:dyDescent="0.25">
      <c r="A6" s="24" t="s">
        <v>93</v>
      </c>
      <c r="B6" s="24" t="s">
        <v>91</v>
      </c>
      <c r="C6">
        <v>1932</v>
      </c>
      <c r="D6">
        <v>1976</v>
      </c>
      <c r="E6">
        <v>1932</v>
      </c>
      <c r="F6">
        <v>1976</v>
      </c>
      <c r="G6" t="s">
        <v>100</v>
      </c>
      <c r="H6" t="s">
        <v>21</v>
      </c>
      <c r="I6">
        <v>1</v>
      </c>
      <c r="J6" t="s">
        <v>255</v>
      </c>
    </row>
    <row r="7" spans="1:10" x14ac:dyDescent="0.25">
      <c r="A7" s="24" t="s">
        <v>94</v>
      </c>
      <c r="B7" s="24" t="s">
        <v>91</v>
      </c>
      <c r="C7">
        <v>1976</v>
      </c>
      <c r="D7">
        <v>2016</v>
      </c>
      <c r="E7">
        <v>1976</v>
      </c>
      <c r="F7" t="s">
        <v>114</v>
      </c>
      <c r="G7" t="s">
        <v>98</v>
      </c>
      <c r="H7" t="s">
        <v>21</v>
      </c>
      <c r="I7">
        <v>1</v>
      </c>
      <c r="J7" t="s">
        <v>256</v>
      </c>
    </row>
    <row r="8" spans="1:10" x14ac:dyDescent="0.25">
      <c r="A8" s="25" t="s">
        <v>110</v>
      </c>
      <c r="B8" s="26" t="s">
        <v>91</v>
      </c>
      <c r="C8" s="27">
        <v>2016</v>
      </c>
      <c r="D8" s="28">
        <v>2028</v>
      </c>
      <c r="E8" s="27" t="s">
        <v>114</v>
      </c>
      <c r="F8" s="28" t="s">
        <v>113</v>
      </c>
      <c r="G8" s="28" t="s">
        <v>99</v>
      </c>
      <c r="H8" s="28" t="s">
        <v>21</v>
      </c>
      <c r="I8" s="28">
        <v>1</v>
      </c>
      <c r="J8" t="s">
        <v>257</v>
      </c>
    </row>
    <row r="9" spans="1:10" x14ac:dyDescent="0.25">
      <c r="A9" s="24" t="s">
        <v>83</v>
      </c>
      <c r="B9" s="24" t="s">
        <v>85</v>
      </c>
      <c r="C9">
        <v>1792</v>
      </c>
      <c r="D9">
        <v>1824</v>
      </c>
      <c r="E9">
        <v>1792</v>
      </c>
      <c r="F9">
        <v>1824</v>
      </c>
      <c r="G9" t="s">
        <v>103</v>
      </c>
      <c r="H9" t="s">
        <v>11</v>
      </c>
      <c r="I9">
        <v>2</v>
      </c>
      <c r="J9" t="str">
        <f>J2</f>
        <v>https://en.wikipedia.org/wiki/First_Party_System</v>
      </c>
    </row>
    <row r="10" spans="1:10" x14ac:dyDescent="0.25">
      <c r="A10" s="24" t="s">
        <v>88</v>
      </c>
      <c r="B10" s="24" t="s">
        <v>89</v>
      </c>
      <c r="C10">
        <v>1828</v>
      </c>
      <c r="D10">
        <v>1854</v>
      </c>
      <c r="E10">
        <v>1828</v>
      </c>
      <c r="F10">
        <v>1854</v>
      </c>
      <c r="G10" t="s">
        <v>95</v>
      </c>
      <c r="H10" t="s">
        <v>26</v>
      </c>
      <c r="I10">
        <v>2</v>
      </c>
      <c r="J10" t="str">
        <f t="shared" ref="J10:J15" si="0">J3</f>
        <v>https://en.wikipedia.org/wiki/Second_Party_System</v>
      </c>
    </row>
    <row r="11" spans="1:10" x14ac:dyDescent="0.25">
      <c r="A11" s="24" t="s">
        <v>90</v>
      </c>
      <c r="B11" s="24" t="s">
        <v>91</v>
      </c>
      <c r="C11">
        <v>1854</v>
      </c>
      <c r="D11" s="7">
        <v>1890</v>
      </c>
      <c r="E11">
        <v>1854</v>
      </c>
      <c r="F11" s="7" t="s">
        <v>258</v>
      </c>
      <c r="G11" t="s">
        <v>96</v>
      </c>
      <c r="H11" t="s">
        <v>33</v>
      </c>
      <c r="I11">
        <v>2</v>
      </c>
      <c r="J11" t="str">
        <f t="shared" si="0"/>
        <v>https://en.wikipedia.org/wiki/Third_Party_System</v>
      </c>
    </row>
    <row r="12" spans="1:10" x14ac:dyDescent="0.25">
      <c r="A12" s="24" t="s">
        <v>92</v>
      </c>
      <c r="B12" s="24" t="s">
        <v>91</v>
      </c>
      <c r="C12">
        <v>1896</v>
      </c>
      <c r="D12">
        <v>1932</v>
      </c>
      <c r="E12">
        <v>1896</v>
      </c>
      <c r="F12">
        <v>1932</v>
      </c>
      <c r="G12" t="s">
        <v>97</v>
      </c>
      <c r="H12" t="s">
        <v>33</v>
      </c>
      <c r="I12">
        <v>2</v>
      </c>
      <c r="J12" t="str">
        <f t="shared" si="0"/>
        <v>https://en.wikipedia.org/wiki/Fourth_Party_System</v>
      </c>
    </row>
    <row r="13" spans="1:10" x14ac:dyDescent="0.25">
      <c r="A13" s="24" t="s">
        <v>93</v>
      </c>
      <c r="B13" s="24" t="s">
        <v>91</v>
      </c>
      <c r="C13">
        <v>1932</v>
      </c>
      <c r="D13">
        <v>1976</v>
      </c>
      <c r="E13">
        <v>1932</v>
      </c>
      <c r="F13">
        <v>1976</v>
      </c>
      <c r="G13" t="s">
        <v>100</v>
      </c>
      <c r="H13" t="s">
        <v>33</v>
      </c>
      <c r="I13">
        <v>2</v>
      </c>
      <c r="J13" t="str">
        <f t="shared" si="0"/>
        <v>https://en.wikipedia.org/wiki/Fifth_Party_System</v>
      </c>
    </row>
    <row r="14" spans="1:10" x14ac:dyDescent="0.25">
      <c r="A14" s="24" t="s">
        <v>94</v>
      </c>
      <c r="B14" s="24" t="s">
        <v>91</v>
      </c>
      <c r="C14">
        <v>1976</v>
      </c>
      <c r="D14">
        <v>2016</v>
      </c>
      <c r="E14">
        <v>1976</v>
      </c>
      <c r="F14" t="s">
        <v>114</v>
      </c>
      <c r="G14" t="s">
        <v>98</v>
      </c>
      <c r="H14" t="s">
        <v>33</v>
      </c>
      <c r="I14">
        <v>2</v>
      </c>
      <c r="J14" t="str">
        <f t="shared" si="0"/>
        <v>https://en.wikipedia.org/wiki/Sixth_Party_System</v>
      </c>
    </row>
    <row r="15" spans="1:10" x14ac:dyDescent="0.25">
      <c r="A15" s="25" t="s">
        <v>110</v>
      </c>
      <c r="B15" s="26" t="s">
        <v>91</v>
      </c>
      <c r="C15" s="27">
        <v>2016</v>
      </c>
      <c r="D15" s="28">
        <v>2028</v>
      </c>
      <c r="E15" s="27" t="s">
        <v>114</v>
      </c>
      <c r="F15" s="28" t="s">
        <v>113</v>
      </c>
      <c r="G15" s="28" t="s">
        <v>99</v>
      </c>
      <c r="H15" s="28" t="s">
        <v>33</v>
      </c>
      <c r="I15" s="28">
        <v>2</v>
      </c>
      <c r="J15" t="str">
        <f t="shared" si="0"/>
        <v>https://en.wikipedia.org/wiki/Sixth_Party_System#Proposed_Seventh_Party_System</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party</vt:lpstr>
      <vt:lpstr>party_system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 terrday</dc:creator>
  <cp:lastModifiedBy>yes terrday</cp:lastModifiedBy>
  <dcterms:created xsi:type="dcterms:W3CDTF">2015-06-05T18:17:20Z</dcterms:created>
  <dcterms:modified xsi:type="dcterms:W3CDTF">2025-10-25T04:03:14Z</dcterms:modified>
</cp:coreProperties>
</file>